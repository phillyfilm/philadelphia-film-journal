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Venues" sheetId="2" state="visible" r:id="rId4"/>
    <sheet name="Host Venues (Occasional)" sheetId="3" state="visible" r:id="rId5"/>
    <sheet name="Orgs &amp; Clubs" sheetId="4" state="visible" r:id="rId6"/>
    <sheet name="Festivals" sheetId="5" state="visible" r:id="rId7"/>
    <sheet name="Recurring Series" sheetId="6" state="visible" r:id="rId8"/>
    <sheet name="Judgment Calls" sheetId="7" state="visible" r:id="rId9"/>
    <sheet name="Excluded Chains" sheetId="8" state="visible" r:id="rId10"/>
    <sheet name="Watch List" sheetId="9" state="visible" r:id="rId11"/>
    <sheet name="Media &amp; Ecosystem" sheetId="10" state="visible" r:id="rId12"/>
  </sheets>
  <definedNames>
    <definedName function="false" hidden="true" localSheetId="7" name="_xlnm._FilterDatabase" vbProcedure="false">'Excluded Chains'!$A$1:$E$23</definedName>
    <definedName function="false" hidden="true" localSheetId="4" name="_xlnm._FilterDatabase" vbProcedure="false">Festivals!$A$1:$L$24</definedName>
    <definedName function="false" hidden="true" localSheetId="2" name="_xlnm._FilterDatabase" vbProcedure="false">'Host Venues (Occasional)'!$A$1:$I$26</definedName>
    <definedName function="false" hidden="true" localSheetId="6" name="_xlnm._FilterDatabase" vbProcedure="false">'Judgment Calls'!$A$1:$F$9</definedName>
    <definedName function="false" hidden="true" localSheetId="9" name="_xlnm._FilterDatabase" vbProcedure="false">'Media &amp; Ecosystem'!$A$1:$E$10</definedName>
    <definedName function="false" hidden="true" localSheetId="3" name="_xlnm._FilterDatabase" vbProcedure="false">'Orgs &amp; Clubs'!$A$1:$K$32</definedName>
    <definedName function="false" hidden="true" localSheetId="5" name="_xlnm._FilterDatabase" vbProcedure="false">'Recurring Series'!$A$1:$I$21</definedName>
    <definedName function="false" hidden="true" localSheetId="1" name="_xlnm._FilterDatabase" vbProcedure="false">Venues!$A$1:$V$26</definedName>
    <definedName function="false" hidden="true" localSheetId="8" name="_xlnm._FilterDatabase" vbProcedure="false">'Watch List'!$A$1:$E$9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<sst xmlns="http://schemas.openxmlformats.org/spreadsheetml/2006/main" count="1983" uniqueCount="1264">
  <si>
    <t xml:space="preserve">The Philadelphia Film Journal — Screening Venue &amp; Film Community Database (v2)</t>
  </si>
  <si>
    <t xml:space="preserve">Compiled 2026-09-11; revised 2026-09-16 against live venue calendars for the week of Sept 21–27, 2026. Status fields reflect sources available as of the revision date.</t>
  </si>
  <si>
    <t xml:space="preserve">Counts (live formulas)</t>
  </si>
  <si>
    <t xml:space="preserve">Venues – total</t>
  </si>
  <si>
    <t xml:space="preserve">All rows on the Venues tab</t>
  </si>
  <si>
    <t xml:space="preserve">Venues – Include = Yes</t>
  </si>
  <si>
    <t xml:space="preserve">Clear fits for the calendar and map</t>
  </si>
  <si>
    <t xml:space="preserve">Venues – Judgment call</t>
  </si>
  <si>
    <t xml:space="preserve">Need your decision (see Judgment Calls tab)</t>
  </si>
  <si>
    <t xml:space="preserve">Venues – Fringe (outside Phila. MSA)</t>
  </si>
  <si>
    <t xml:space="preserve">Candidate 'worth the trip' map layer</t>
  </si>
  <si>
    <t xml:space="preserve">Host venues (occasional film)</t>
  </si>
  <si>
    <t xml:space="preserve">Map pins only when an event is scheduled</t>
  </si>
  <si>
    <t xml:space="preserve">Organizations &amp; clubs</t>
  </si>
  <si>
    <t xml:space="preserve">Presenters, clubs, festivals' parent orgs, civic presenters</t>
  </si>
  <si>
    <t xml:space="preserve">Festivals</t>
  </si>
  <si>
    <t xml:space="preserve">Recurring festivals, incl. several flagged Verify</t>
  </si>
  <si>
    <t xml:space="preserve">Recurring series</t>
  </si>
  <si>
    <t xml:space="preserve">Standing series that generate calendar events</t>
  </si>
  <si>
    <t xml:space="preserve">Excluded chain locations (denylist)</t>
  </si>
  <si>
    <t xml:space="preserve">Starting list for the filter</t>
  </si>
  <si>
    <t xml:space="preserve">How to read this workbook</t>
  </si>
  <si>
    <t xml:space="preserve">Yellow rows</t>
  </si>
  <si>
    <t xml:space="preserve">Needs verification or a decision before it goes live</t>
  </si>
  <si>
    <t xml:space="preserve">Blue-tinted rows (Venues)</t>
  </si>
  <si>
    <t xml:space="preserve">Fringe tier — outside the 11-county Philadelphia MSA</t>
  </si>
  <si>
    <t xml:space="preserve">Region Tier = Core</t>
  </si>
  <si>
    <t xml:space="preserve">Philadelphia MSA: Philadelphia, Bucks, Chester, Delaware, Montgomery (PA); Burlington, Camden, Gloucester, Salem (NJ); New Castle (DE); Cecil (MD)</t>
  </si>
  <si>
    <t xml:space="preserve">Coord Source</t>
  </si>
  <si>
    <t xml:space="preserve">Lat/long filled ONLY where a source provided them (Poor Stuart's map links; Wikipedia). All others: geocode at build.</t>
  </si>
  <si>
    <t xml:space="preserve">Address Confidence</t>
  </si>
  <si>
    <t xml:space="preserve">'Sourced' = seen in a cited source this pass; 'General knowledge – verify' = not confirmed this pass</t>
  </si>
  <si>
    <t xml:space="preserve">Exclusion rule applied</t>
  </si>
  <si>
    <t xml:space="preserve">Regular showtimes at AMC, Regal (incl. UA), Cinemark, Marcus/Movie Tavern excluded</t>
  </si>
  <si>
    <t xml:space="preserve">Known gaps in v1</t>
  </si>
  <si>
    <t xml:space="preserve">South Jersey</t>
  </si>
  <si>
    <t xml:space="preserve">No dedicated independent screen found in Burlington/Camden/Gloucester/Salem; Scribe's Street Movies! reaches Camden. Needs a targeted pass.</t>
  </si>
  <si>
    <t xml:space="preserve">Delaware County / Chester County</t>
  </si>
  <si>
    <t xml:space="preserve">Villanova and Colonial found; smaller library/college series likely under-counted.</t>
  </si>
  <si>
    <t xml:space="preserve">Film clubs</t>
  </si>
  <si>
    <t xml:space="preserve">Instagram-first clubs are hard to discover by search; expect more via outreach.</t>
  </si>
  <si>
    <t xml:space="preserve">Addresses marked TBD</t>
  </si>
  <si>
    <t xml:space="preserve">Mostly bars/bookstores/small venues from club coverage — fill from venue sites before mapping.</t>
  </si>
  <si>
    <t xml:space="preserve">Calendar quirks</t>
  </si>
  <si>
    <t xml:space="preserve">Some venues' Notes &amp; Flags carry a CALENDAR QUIRK line — read it before pulling listings.</t>
  </si>
  <si>
    <t xml:space="preserve">Screening links</t>
  </si>
  <si>
    <t xml:space="preserve">Listings link to the page for the specific screening, never a venue homepage or bare calendar.</t>
  </si>
  <si>
    <t xml:space="preserve">Wide-release check</t>
  </si>
  <si>
    <t xml:space="preserve">Confirm via box-office theater counts (Variety, Deadline, TheWrap); 1,500+ locations is wide.</t>
  </si>
  <si>
    <t xml:space="preserve">First stop each month</t>
  </si>
  <si>
    <t xml:space="preserve">cinéSPEAK's monthly round-up (Media &amp; Ecosystem tab) before any venue-by-venue sweep.</t>
  </si>
  <si>
    <t xml:space="preserve">Revision log — v2 (2026-09-16)</t>
  </si>
  <si>
    <t xml:space="preserve">Lightbox Film Center moved to Bok Auditorium (1901 S 9th St); calendar source changed to TicketLeap.</t>
  </si>
  <si>
    <t xml:space="preserve">Woodmere updated: doors 6:30 PM, film 7–9 PM, $10 suggested donation; season-start caveat added.</t>
  </si>
  <si>
    <t xml:space="preserve">PFS houses flagged: shared calendar does not identify Center vs. Bourse vs. East.</t>
  </si>
  <si>
    <t xml:space="preserve">Renew houses (Ambler, County, Hiway) flagged: sites publish the current week only.</t>
  </si>
  <si>
    <t xml:space="preserve">11 host venues added from Sept 2026 listings (Butcher's Sew Shop, Two Locals, uCity Square, Cira Green, and others).</t>
  </si>
  <si>
    <t xml:space="preserve">South Philly Autonomous Cinema added to Orgs &amp; Clubs; Phoenixville Film Festival added to Festivals.</t>
  </si>
  <si>
    <t xml:space="preserve">Three recurring series added: Movie Mondays, Sunset Social, cinéKIDZ.</t>
  </si>
  <si>
    <t xml:space="preserve">cinéSPEAK's monthly round-up added to Media &amp; Ecosystem as the designated first-stop source.</t>
  </si>
  <si>
    <t xml:space="preserve">ID</t>
  </si>
  <si>
    <t xml:space="preserve">Name</t>
  </si>
  <si>
    <t xml:space="preserve">Include?</t>
  </si>
  <si>
    <t xml:space="preserve">Category</t>
  </si>
  <si>
    <t xml:space="preserve">Operator / Owner</t>
  </si>
  <si>
    <t xml:space="preserve">Ownership Model</t>
  </si>
  <si>
    <t xml:space="preserve">Street Address</t>
  </si>
  <si>
    <t xml:space="preserve">City</t>
  </si>
  <si>
    <t xml:space="preserve">State</t>
  </si>
  <si>
    <t xml:space="preserve">ZIP</t>
  </si>
  <si>
    <t xml:space="preserve">County</t>
  </si>
  <si>
    <t xml:space="preserve">Region Tier</t>
  </si>
  <si>
    <t xml:space="preserve">Latitude</t>
  </si>
  <si>
    <t xml:space="preserve">Longitude</t>
  </si>
  <si>
    <t xml:space="preserve">Website</t>
  </si>
  <si>
    <t xml:space="preserve">Calendar / Ticketing Source</t>
  </si>
  <si>
    <t xml:space="preserve">Programming Profile</t>
  </si>
  <si>
    <t xml:space="preserve">Status (as of 2026-09-11)</t>
  </si>
  <si>
    <t xml:space="preserve">Primary Source</t>
  </si>
  <si>
    <t xml:space="preserve">Notes &amp; Flags</t>
  </si>
  <si>
    <t xml:space="preserve">V001</t>
  </si>
  <si>
    <t xml:space="preserve">Film Society Center</t>
  </si>
  <si>
    <t xml:space="preserve">Yes</t>
  </si>
  <si>
    <t xml:space="preserve">Cinema – nonprofit arthouse</t>
  </si>
  <si>
    <t xml:space="preserve">Philadelphia Film Society (PFS)</t>
  </si>
  <si>
    <t xml:space="preserve">Nonprofit</t>
  </si>
  <si>
    <t xml:space="preserve">1412 Chestnut St</t>
  </si>
  <si>
    <t xml:space="preserve">Philadelphia</t>
  </si>
  <si>
    <t xml:space="preserve">PA</t>
  </si>
  <si>
    <t xml:space="preserve">19102</t>
  </si>
  <si>
    <t xml:space="preserve">Core</t>
  </si>
  <si>
    <t xml:space="preserve">Poor Stuart's Guide map link (poorstuart.com)</t>
  </si>
  <si>
    <t xml:space="preserve">https://filmadelphia.org/about/venues/film-society-center/</t>
  </si>
  <si>
    <t xml:space="preserve">https://filmadelphia.org/showtimes-calendar-view/</t>
  </si>
  <si>
    <t xml:space="preserve">First-run indie, curated repertory series, 35mm, Philadelphia Film Festival hub</t>
  </si>
  <si>
    <t xml:space="preserve">Active</t>
  </si>
  <si>
    <t xml:space="preserve">Sourced</t>
  </si>
  <si>
    <t xml:space="preserve">Name varies across sources (Philadelphia Film Center / Prince Theater / 'Philadelphia Film Society Center'); PFS's own site uses 'Film Society Center'. 83-seat Greenfield screening room plus main house (443 per Wikipedia). Lobby/entrance renovated 2025. CALENDAR QUIRK: the shared PFS monthly grid does not say which of the three houses a title plays in (except where the title string carries a venue tag). Open the per-film page (filmadelphia.org/movies/&lt;title&gt;/) for the house and for the screening-specific ticket link.</t>
  </si>
  <si>
    <t xml:space="preserve">V002</t>
  </si>
  <si>
    <t xml:space="preserve">Film Society Bourse</t>
  </si>
  <si>
    <t xml:space="preserve">400 Ranstead St</t>
  </si>
  <si>
    <t xml:space="preserve">19106</t>
  </si>
  <si>
    <t xml:space="preserve">https://filmadelphia.org/about/venues/film-society-bourse/</t>
  </si>
  <si>
    <t xml:space="preserve">First-run specialty/indie, PFS series</t>
  </si>
  <si>
    <t xml:space="preserve">https://filmadelphia.org/</t>
  </si>
  <si>
    <t xml:space="preserve">Former Ritz at the Bourse (Landmark). Some aggregators (e.g., Poor Stuart's) still link to a stale Landmark URL — use PFS URLs. CALENDAR QUIRK: the shared PFS monthly grid does not say which of the three houses a title plays in (except where the title string carries a venue tag). Open the per-film page (filmadelphia.org/movies/&lt;title&gt;/) for the house and for the screening-specific ticket link.</t>
  </si>
  <si>
    <t xml:space="preserve">V003</t>
  </si>
  <si>
    <t xml:space="preserve">Film Society East</t>
  </si>
  <si>
    <t xml:space="preserve">125 S 2nd St</t>
  </si>
  <si>
    <t xml:space="preserve">https://filmadelphia.org/about/venues/film-society-east/</t>
  </si>
  <si>
    <t xml:space="preserve">First-run indie; home of PFS SpringFest</t>
  </si>
  <si>
    <t xml:space="preserve">https://cinematreasures.org/theaters/14780</t>
  </si>
  <si>
    <t xml:space="preserve">Former Ritz East; closed Oct 2021, reopened by PFS as PFS East Oct 2022, renamed Film Society East Feb 2025 (Cinema Treasures). Two auditoriums of roughly 250 and 300 seats (Inquirer, Oct 2022). CALENDAR QUIRK: the shared PFS monthly grid does not say which of the three houses a title plays in (except where the title string carries a venue tag). Open the per-film page (filmadelphia.org/movies/&lt;title&gt;/) for the house and for the screening-specific ticket link.</t>
  </si>
  <si>
    <t xml:space="preserve">V004</t>
  </si>
  <si>
    <t xml:space="preserve">Landmark Ritz Five</t>
  </si>
  <si>
    <t xml:space="preserve">Judgment call</t>
  </si>
  <si>
    <t xml:space="preserve">Cinema – arthouse (national chain)</t>
  </si>
  <si>
    <t xml:space="preserve">Landmark Theatres</t>
  </si>
  <si>
    <t xml:space="preserve">Commercial – national specialty chain</t>
  </si>
  <si>
    <t xml:space="preserve">214 Walnut St</t>
  </si>
  <si>
    <t xml:space="preserve">https://www.landmarktheatres.com/philadelphia/ritz-five</t>
  </si>
  <si>
    <t xml:space="preserve">First-run arthouse/foreign/doc; repertory nights (Retro Replay, Cine Insomnia per 2024 listings)</t>
  </si>
  <si>
    <t xml:space="preserve">Active – reopened (Billy Penn update 9/10/26) after closure over failed inspections/fire-code violations</t>
  </si>
  <si>
    <t xml:space="preserve">https://billypenn.com/2026/09/10/movie-theaters-philly/</t>
  </si>
  <si>
    <t xml:space="preserve">JUDGMENT CALL: Landmark is a national chain, but this is one of Philly's core arthouse screens. See Judgment Calls tab.</t>
  </si>
  <si>
    <t xml:space="preserve">V005</t>
  </si>
  <si>
    <t xml:space="preserve">Lightbox Film Center</t>
  </si>
  <si>
    <t xml:space="preserve">Cinema – repertory (nonprofit)</t>
  </si>
  <si>
    <t xml:space="preserve">Lightbox Film Center (independent nonprofit since 2024)</t>
  </si>
  <si>
    <t xml:space="preserve">1901 S 9th St (Bok Building; also listed as 800 Mifflin St)</t>
  </si>
  <si>
    <t xml:space="preserve">19148</t>
  </si>
  <si>
    <t xml:space="preserve">Geocode at build</t>
  </si>
  <si>
    <t xml:space="preserve">https://www.lightboxfilmcenter.org/</t>
  </si>
  <si>
    <t xml:space="preserve">https://events.ticketleap.com/events/lightbox-film-center (dated listings; JS-rendered and may return nothing to a fetch). Program descriptions: https://www.lightboxfilmcenter.org/</t>
  </si>
  <si>
    <t xml:space="preserve">Repertory, new restorations, experimental, silents with live music</t>
  </si>
  <si>
    <t xml:space="preserve">Formerly at International House (to 2019) and UArts (2019–May 2024). Reconstituted as a nonprofit after UArts closure; screens at Bok. ADA entrance: 821 Dudley St. Bok has also hosted Bok Movie Club and Secret Cinema. UPDATE 2026-09-16: screens at Bok Auditorium in South Philadelphia, not the former UArts address. Dated listings live on TicketLeap, not the Lightbox site; when the TicketLeap fetch returns nothing, fall back to the cinéSPEAK monthly round-up. Lat/long still needs geocoding to the Bok address.</t>
  </si>
  <si>
    <t xml:space="preserve">V006</t>
  </si>
  <si>
    <t xml:space="preserve">PhilaMOCA (Philadelphia Mausoleum of Contemporary Art)</t>
  </si>
  <si>
    <t xml:space="preserve">Multi-use venue – regular film</t>
  </si>
  <si>
    <t xml:space="preserve">Independent</t>
  </si>
  <si>
    <t xml:space="preserve">Independent arts space</t>
  </si>
  <si>
    <t xml:space="preserve">531 N 12th St</t>
  </si>
  <si>
    <t xml:space="preserve">19123</t>
  </si>
  <si>
    <t xml:space="preserve">https://www.philamoca.org/</t>
  </si>
  <si>
    <t xml:space="preserve">https://www.philamoca.org/ (tickets frequently via DICE)</t>
  </si>
  <si>
    <t xml:space="preserve">Cult/genre, Philly premieres, filmmaker Q&amp;As; home of Philly Psychotronic Film Society; also music/comedy</t>
  </si>
  <si>
    <t xml:space="preserve">Mixed calendar — filter film events from music/comedy at ingestion.</t>
  </si>
  <si>
    <t xml:space="preserve">V007</t>
  </si>
  <si>
    <t xml:space="preserve">Scribe Video Center</t>
  </si>
  <si>
    <t xml:space="preserve">Media arts center – regular screenings</t>
  </si>
  <si>
    <t xml:space="preserve">3908 Lancaster Ave</t>
  </si>
  <si>
    <t xml:space="preserve">19104</t>
  </si>
  <si>
    <t xml:space="preserve">https://scribe.org/</t>
  </si>
  <si>
    <t xml:space="preserve">https://www.scribe.org/Screenings</t>
  </si>
  <si>
    <t xml:space="preserve">Documentary and community media; Producers' Forum; Storyville (monthly local works); Street Movies! (outdoor)</t>
  </si>
  <si>
    <t xml:space="preserve">V008</t>
  </si>
  <si>
    <t xml:space="preserve">Woodmere Art Museum – Tuesday Nights at the Movies</t>
  </si>
  <si>
    <t xml:space="preserve">Museum – weekly film series</t>
  </si>
  <si>
    <t xml:space="preserve">Chestnut Hill Film Group (volunteer) with Woodmere</t>
  </si>
  <si>
    <t xml:space="preserve">9201 Germantown Ave</t>
  </si>
  <si>
    <t xml:space="preserve">19118</t>
  </si>
  <si>
    <t xml:space="preserve">https://woodmeremuseum.org/happenings/film</t>
  </si>
  <si>
    <t xml:space="preserve">Classic, rare and underseen films; occasional silents with live score. Doors 6:30 PM, film 7:00–9:00 PM, $10 suggested donation. Season runs fall through early winter.</t>
  </si>
  <si>
    <t xml:space="preserve">Woodmere appears under two domains (woodmereartmuseum.org and woodmeremuseum.org) — confirm canonical before scraping. UPDATE 2026-09-16: donation is now $10 suggested (was listed free/donation) and doors are 6:30 PM. Confirm the season's first Tuesday before listing an early-September date — the fall season has started as late as the last Tuesday in September.</t>
  </si>
  <si>
    <t xml:space="preserve">V009</t>
  </si>
  <si>
    <t xml:space="preserve">Village of Industry &amp; Art (VIA) – People's Cinema Club</t>
  </si>
  <si>
    <t xml:space="preserve">Microcinema</t>
  </si>
  <si>
    <t xml:space="preserve">BlackStar Projects, cinéSPEAK, PAAFF, PHLAFF (collaboration)</t>
  </si>
  <si>
    <t xml:space="preserve">Nonprofit collaboration</t>
  </si>
  <si>
    <t xml:space="preserve">320 S Broad St</t>
  </si>
  <si>
    <t xml:space="preserve">https://www.phlaff.org/los-news/peoples-cinema-club-los-news</t>
  </si>
  <si>
    <t xml:space="preserve">TBD – check BlackStar / partner channels</t>
  </si>
  <si>
    <t xml:space="preserve">Weekly curated independent film, Tuesdays 6:30 PM</t>
  </si>
  <si>
    <t xml:space="preserve">Active (announced Aug 2026)</t>
  </si>
  <si>
    <t xml:space="preserve">Venue name spelled inconsistently in sources ('Village of Arts and Industry' vs. 'Village of Industry &amp; Art') — confirm.</t>
  </si>
  <si>
    <t xml:space="preserve">V010</t>
  </si>
  <si>
    <t xml:space="preserve">Bryn Mawr Film Institute (BMFI)</t>
  </si>
  <si>
    <t xml:space="preserve">Bryn Mawr Film Institute</t>
  </si>
  <si>
    <t xml:space="preserve">824 W Lancaster Ave</t>
  </si>
  <si>
    <t xml:space="preserve">Bryn Mawr</t>
  </si>
  <si>
    <t xml:space="preserve">19010</t>
  </si>
  <si>
    <t xml:space="preserve">Montgomery</t>
  </si>
  <si>
    <t xml:space="preserve">https://brynmawrfilm.org/</t>
  </si>
  <si>
    <t xml:space="preserve">First-run specialty, 70mm/35mm, Cinema Classics Seminars, Talk Cinema, family matinees, film education</t>
  </si>
  <si>
    <t xml:space="preserve">https://www.poorstuart.com/philadelphia-movie-showtimes-citywide-by-arthouse/</t>
  </si>
  <si>
    <t xml:space="preserve">Hosts Tri-Co student film festival.</t>
  </si>
  <si>
    <t xml:space="preserve">V011</t>
  </si>
  <si>
    <t xml:space="preserve">Ambler Theater</t>
  </si>
  <si>
    <t xml:space="preserve">Renew Theaters</t>
  </si>
  <si>
    <t xml:space="preserve">Nonprofit (member-supported)</t>
  </si>
  <si>
    <t xml:space="preserve">108 E Butler Ave</t>
  </si>
  <si>
    <t xml:space="preserve">Ambler</t>
  </si>
  <si>
    <t xml:space="preserve">19002</t>
  </si>
  <si>
    <t xml:space="preserve">https://www.amblertheater.org/</t>
  </si>
  <si>
    <t xml:space="preserve">First-run specialty, classics, NT Live, community partnerships</t>
  </si>
  <si>
    <t xml:space="preserve">https://www.renewtheaters.org/</t>
  </si>
  <si>
    <t xml:space="preserve">Opened 1928; Renew-operated since 2003. CALENDAR QUIRK: the site publishes the current week only; next week's grid posts midweek. Pull Wednesday or later, or plan a second pass before publishing.</t>
  </si>
  <si>
    <t xml:space="preserve">V012</t>
  </si>
  <si>
    <t xml:space="preserve">County Theater</t>
  </si>
  <si>
    <t xml:space="preserve">20 E State St</t>
  </si>
  <si>
    <t xml:space="preserve">Doylestown</t>
  </si>
  <si>
    <t xml:space="preserve">18901</t>
  </si>
  <si>
    <t xml:space="preserve">Bucks</t>
  </si>
  <si>
    <t xml:space="preserve">https://countytheater.org/</t>
  </si>
  <si>
    <t xml:space="preserve">First-run specialty; Science on Screen; Films That Rock</t>
  </si>
  <si>
    <t xml:space="preserve">General knowledge – verify</t>
  </si>
  <si>
    <t xml:space="preserve">Renew-operated since 1993. Street address not confirmed in this pass. CALENDAR QUIRK: the site publishes the current week only; next week's grid posts midweek. Pull Wednesday or later, or plan a second pass before publishing.</t>
  </si>
  <si>
    <t xml:space="preserve">V013</t>
  </si>
  <si>
    <t xml:space="preserve">Hiway Theater</t>
  </si>
  <si>
    <t xml:space="preserve">212 Old York Rd</t>
  </si>
  <si>
    <t xml:space="preserve">Jenkintown</t>
  </si>
  <si>
    <t xml:space="preserve">19046</t>
  </si>
  <si>
    <t xml:space="preserve">https://www.hiwaytheater.org/</t>
  </si>
  <si>
    <t xml:space="preserve">First-run specialty, classics; single screen</t>
  </si>
  <si>
    <t xml:space="preserve">Opened 1913 as Jenkintown Auditorium; Renew-operated since 2013. Street address not confirmed in this pass. CALENDAR QUIRK: the site publishes the current week only; next week's grid posts midweek. Pull Wednesday or later, or plan a second pass before publishing.</t>
  </si>
  <si>
    <t xml:space="preserve">V014</t>
  </si>
  <si>
    <t xml:space="preserve">Princeton Garden Theatre</t>
  </si>
  <si>
    <t xml:space="preserve">Fringe</t>
  </si>
  <si>
    <t xml:space="preserve">Renew Theaters (building owned by Princeton University)</t>
  </si>
  <si>
    <t xml:space="preserve">160 Nassau St</t>
  </si>
  <si>
    <t xml:space="preserve">Princeton</t>
  </si>
  <si>
    <t xml:space="preserve">NJ</t>
  </si>
  <si>
    <t xml:space="preserve">08542</t>
  </si>
  <si>
    <t xml:space="preserve">Mercer</t>
  </si>
  <si>
    <t xml:space="preserve">Fringe (outside Phila. MSA)</t>
  </si>
  <si>
    <t xml:space="preserve">https://www.princetongardentheatre.org/</t>
  </si>
  <si>
    <t xml:space="preserve">First-run specialty, classics, NT Live, kids' matinees</t>
  </si>
  <si>
    <t xml:space="preserve">https://en.wikipedia.org/wiki/Princeton_Garden_Theatre</t>
  </si>
  <si>
    <t xml:space="preserve">Mercer County is outside the Philadelphia MSA; include only if you want a 'worth the trip' layer.</t>
  </si>
  <si>
    <t xml:space="preserve">V015</t>
  </si>
  <si>
    <t xml:space="preserve">Colonial Theatre</t>
  </si>
  <si>
    <t xml:space="preserve">Cinema – nonprofit historic</t>
  </si>
  <si>
    <t xml:space="preserve">The Colonial Theatre (nonprofit association – verify legal name)</t>
  </si>
  <si>
    <t xml:space="preserve">Nonprofit (verify)</t>
  </si>
  <si>
    <t xml:space="preserve">227 Bridge St</t>
  </si>
  <si>
    <t xml:space="preserve">Phoenixville</t>
  </si>
  <si>
    <t xml:space="preserve">19460</t>
  </si>
  <si>
    <t xml:space="preserve">Chester</t>
  </si>
  <si>
    <t xml:space="preserve">https://thecolonialtheatre.com/</t>
  </si>
  <si>
    <t xml:space="preserve">First-run, classics, cult/fright nights, annual Blobfest</t>
  </si>
  <si>
    <t xml:space="preserve">V016</t>
  </si>
  <si>
    <t xml:space="preserve">The Newtown Theatre</t>
  </si>
  <si>
    <t xml:space="preserve">Historic theater – film + live</t>
  </si>
  <si>
    <t xml:space="preserve">Community Welfare Council (owner); nonprofit operation</t>
  </si>
  <si>
    <t xml:space="preserve">120 N State St</t>
  </si>
  <si>
    <t xml:space="preserve">Newtown</t>
  </si>
  <si>
    <t xml:space="preserve">18940</t>
  </si>
  <si>
    <t xml:space="preserve">https://www.thenewtowntheatre.com/</t>
  </si>
  <si>
    <t xml:space="preserve">Up to ~50 films/yr (e.g., Page to Screen series) alongside concerts/comedy</t>
  </si>
  <si>
    <t xml:space="preserve">https://en.wikipedia.org/wiki/Newtown_Theatre</t>
  </si>
  <si>
    <t xml:space="preserve">Claims oldest continuously operating movie theater in U.S. (first film 1906). New home of Bucks County FilmFest (Oct 17, 2026). Mixed calendar — filter film only.</t>
  </si>
  <si>
    <t xml:space="preserve">V017</t>
  </si>
  <si>
    <t xml:space="preserve">Reel Cinemas Narberth</t>
  </si>
  <si>
    <t xml:space="preserve">Cinema – independent commercial</t>
  </si>
  <si>
    <t xml:space="preserve">Reel Cinemas (Greg Wax)</t>
  </si>
  <si>
    <t xml:space="preserve">Independent – local operator (2 sites)</t>
  </si>
  <si>
    <t xml:space="preserve">129 N Narberth Ave</t>
  </si>
  <si>
    <t xml:space="preserve">Narberth</t>
  </si>
  <si>
    <t xml:space="preserve">19072</t>
  </si>
  <si>
    <t xml:space="preserve">https://www.reelcinemaspa.com/</t>
  </si>
  <si>
    <t xml:space="preserve">Mainstream first-run; 2 screens</t>
  </si>
  <si>
    <t xml:space="preserve">Independently owned but mainstream programming — meets the letter of your criteria. See Judgment Calls.</t>
  </si>
  <si>
    <t xml:space="preserve">V018</t>
  </si>
  <si>
    <t xml:space="preserve">Penn Cinema Huntingdon Valley</t>
  </si>
  <si>
    <t xml:space="preserve">Cinema – regional chain</t>
  </si>
  <si>
    <t xml:space="preserve">Penn Cinema</t>
  </si>
  <si>
    <t xml:space="preserve">Commercial – regional chain</t>
  </si>
  <si>
    <t xml:space="preserve">2068 County Line Rd</t>
  </si>
  <si>
    <t xml:space="preserve">Huntingdon Valley</t>
  </si>
  <si>
    <t xml:space="preserve">19006</t>
  </si>
  <si>
    <t xml:space="preserve">Mainstream first-run</t>
  </si>
  <si>
    <t xml:space="preserve">JUDGMENT CALL: regional (not national) chain. Sister site Penn Cinema Riverfront in Wilmington (V021).</t>
  </si>
  <si>
    <t xml:space="preserve">V019</t>
  </si>
  <si>
    <t xml:space="preserve">Villanova Cultural Film &amp; Lecture Series – Connelly Center Cinema</t>
  </si>
  <si>
    <t xml:space="preserve">University venue – public film series</t>
  </si>
  <si>
    <t xml:space="preserve">Villanova University</t>
  </si>
  <si>
    <t xml:space="preserve">University</t>
  </si>
  <si>
    <t xml:space="preserve">800 E Lancaster Ave (Connelly Center)</t>
  </si>
  <si>
    <t xml:space="preserve">Villanova</t>
  </si>
  <si>
    <t xml:space="preserve">19085</t>
  </si>
  <si>
    <t xml:space="preserve">Delaware</t>
  </si>
  <si>
    <t xml:space="preserve">https://www1.villanova.edu/university/student-life/student-involvement/cultural-film-series.html</t>
  </si>
  <si>
    <t xml:space="preserve">Program PDF per academic year on villanova.edu</t>
  </si>
  <si>
    <t xml:space="preserve">~10 thematically linked films/semester; Sun 3:30 &amp; 7 PM, Mon 7 PM with speaker; free and open to public</t>
  </si>
  <si>
    <t xml:space="preserve">Active (2025–26 program published)</t>
  </si>
  <si>
    <t xml:space="preserve">Address: general knowledge – verify</t>
  </si>
  <si>
    <t xml:space="preserve">V020</t>
  </si>
  <si>
    <t xml:space="preserve">Theatre N</t>
  </si>
  <si>
    <t xml:space="preserve">Theatre N (nonprofit)</t>
  </si>
  <si>
    <t xml:space="preserve">1007 N Orange St (Nemours Building)</t>
  </si>
  <si>
    <t xml:space="preserve">Wilmington</t>
  </si>
  <si>
    <t xml:space="preserve">DE</t>
  </si>
  <si>
    <t xml:space="preserve">19801</t>
  </si>
  <si>
    <t xml:space="preserve">New Castle</t>
  </si>
  <si>
    <t xml:space="preserve">https://theatren.com/</t>
  </si>
  <si>
    <t xml:space="preserve">Independent, international, documentary, classic, local films; 221 seats; weekend-focused schedule</t>
  </si>
  <si>
    <t xml:space="preserve">Sourced – conflict noted</t>
  </si>
  <si>
    <t xml:space="preserve">https://delawarescene.com/organization/59/theatre-n</t>
  </si>
  <si>
    <t xml:space="preserve">ADDRESS CONFLICT: Yelp/IMDb list 1007 N Orange St; Wilmington Int'l Film Festival lists 'Theatre N @ Nemours – 221 W. Tenth Street.' Likely same building, different entrance — confirm before geocoding.</t>
  </si>
  <si>
    <t xml:space="preserve">V021</t>
  </si>
  <si>
    <t xml:space="preserve">Penn Cinema Riverfront &amp; IMAX</t>
  </si>
  <si>
    <t xml:space="preserve">401 S Madison St</t>
  </si>
  <si>
    <t xml:space="preserve">Mainstream first-run, IMAX</t>
  </si>
  <si>
    <t xml:space="preserve">Sourced (IMDb showtimes listing)</t>
  </si>
  <si>
    <t xml:space="preserve">https://www.imdb.com/showtimes/cinema/US/ci1041599/US/19707/</t>
  </si>
  <si>
    <t xml:space="preserve">JUDGMENT CALL: regional chain.</t>
  </si>
  <si>
    <t xml:space="preserve">V022</t>
  </si>
  <si>
    <t xml:space="preserve">The Screening Room at 1313</t>
  </si>
  <si>
    <t xml:space="preserve">Yes – verify</t>
  </si>
  <si>
    <t xml:space="preserve">Screening room / event space</t>
  </si>
  <si>
    <t xml:space="preserve">TBD</t>
  </si>
  <si>
    <t xml:space="preserve">1313 N Market St</t>
  </si>
  <si>
    <t xml:space="preserve">Wilmington Int'l Film Festival venue; appears in IMDb theater listings</t>
  </si>
  <si>
    <t xml:space="preserve">Verify – little public info</t>
  </si>
  <si>
    <t xml:space="preserve">Sourced (IMDb; WIFF)</t>
  </si>
  <si>
    <t xml:space="preserve">https://wilmington.film/more-than-a-movie-festival/</t>
  </si>
  <si>
    <t xml:space="preserve">Operator and regular programming unconfirmed.</t>
  </si>
  <si>
    <t xml:space="preserve">V023</t>
  </si>
  <si>
    <t xml:space="preserve">Delsea Drive-In</t>
  </si>
  <si>
    <t xml:space="preserve">Drive-in</t>
  </si>
  <si>
    <t xml:space="preserve">Commercial – independent</t>
  </si>
  <si>
    <t xml:space="preserve">2203 Delsea Dr</t>
  </si>
  <si>
    <t xml:space="preserve">Vineland</t>
  </si>
  <si>
    <t xml:space="preserve">Cumberland</t>
  </si>
  <si>
    <t xml:space="preserve">https://delseadrive-in.com/</t>
  </si>
  <si>
    <t xml:space="preserve">Seasonal first-run double features</t>
  </si>
  <si>
    <t xml:space="preserve">Active (seasonal) – confirm 2026 season</t>
  </si>
  <si>
    <t xml:space="preserve">https://www.inquirer.com/philly-tips/drive-in-movie-theaters-philadelphia-20210525.html</t>
  </si>
  <si>
    <t xml:space="preserve">~43 miles from Center City (Inquirer). Source is from 2024.</t>
  </si>
  <si>
    <t xml:space="preserve">V024</t>
  </si>
  <si>
    <t xml:space="preserve">Shankweiler's Drive-In</t>
  </si>
  <si>
    <t xml:space="preserve">Independent (owners McClanahan &amp; McChesney since 2022)</t>
  </si>
  <si>
    <t xml:space="preserve">4540 Shankweiler Rd</t>
  </si>
  <si>
    <t xml:space="preserve">Orefield</t>
  </si>
  <si>
    <t xml:space="preserve">Lehigh</t>
  </si>
  <si>
    <t xml:space="preserve">Wikipedia</t>
  </si>
  <si>
    <t xml:space="preserve">https://www.shankweilers.com/</t>
  </si>
  <si>
    <t xml:space="preserve">Double features; oldest operating drive-in; events/markets</t>
  </si>
  <si>
    <t xml:space="preserve">Active (Sept 2026 schedule posted)</t>
  </si>
  <si>
    <t xml:space="preserve">~61 miles from Center City (Inquirer).</t>
  </si>
  <si>
    <t xml:space="preserve">V025</t>
  </si>
  <si>
    <t xml:space="preserve">Mahoning Drive-In</t>
  </si>
  <si>
    <t xml:space="preserve">635 Seneca Rd</t>
  </si>
  <si>
    <t xml:space="preserve">Lehighton</t>
  </si>
  <si>
    <t xml:space="preserve">18235</t>
  </si>
  <si>
    <t xml:space="preserve">Carbon</t>
  </si>
  <si>
    <t xml:space="preserve">https://mahoningdit.com/</t>
  </si>
  <si>
    <t xml:space="preserve">Classic films on 35mm; themed weekends</t>
  </si>
  <si>
    <t xml:space="preserve">Active (per Main Line Today, June 2026)</t>
  </si>
  <si>
    <t xml:space="preserve">https://www.phillymag.com/best-of-philly-archive/mahoning-drive-in-movie-theater/</t>
  </si>
  <si>
    <t xml:space="preserve">~90 minutes from Philadelphia.</t>
  </si>
  <si>
    <t xml:space="preserve">Venue</t>
  </si>
  <si>
    <t xml:space="preserve">Neighborhood / City</t>
  </si>
  <si>
    <t xml:space="preserve">Film Activity Seen</t>
  </si>
  <si>
    <t xml:space="preserve">Presenters Seen There</t>
  </si>
  <si>
    <t xml:space="preserve">Source</t>
  </si>
  <si>
    <t xml:space="preserve">Notes</t>
  </si>
  <si>
    <t xml:space="preserve">H001</t>
  </si>
  <si>
    <t xml:space="preserve">Kimmel Center (Ensemble Arts Philly)</t>
  </si>
  <si>
    <t xml:space="preserve">Center City</t>
  </si>
  <si>
    <t xml:space="preserve">300 S Broad St</t>
  </si>
  <si>
    <t xml:space="preserve">BlackStar Film Festival 2026 screening venue</t>
  </si>
  <si>
    <t xml:space="preserve">BlackStar Projects</t>
  </si>
  <si>
    <t xml:space="preserve">https://www.visitphilly.com/things-to-do/events/blackstar-film-festival/</t>
  </si>
  <si>
    <t xml:space="preserve">H002</t>
  </si>
  <si>
    <t xml:space="preserve">Suzanne Roberts Theatre</t>
  </si>
  <si>
    <t xml:space="preserve">Center City (Avenue of the Arts)</t>
  </si>
  <si>
    <t xml:space="preserve">TBD – verify</t>
  </si>
  <si>
    <t xml:space="preserve">—</t>
  </si>
  <si>
    <t xml:space="preserve">BlackStar 2026 venue; historic qFLIX venue</t>
  </si>
  <si>
    <t xml:space="preserve">BlackStar; qFLIX</t>
  </si>
  <si>
    <t xml:space="preserve">https://blackstarprojects.org/press/blackstar-film-festival-2026-lineup</t>
  </si>
  <si>
    <t xml:space="preserve">H003</t>
  </si>
  <si>
    <t xml:space="preserve">Wilma Theater</t>
  </si>
  <si>
    <t xml:space="preserve">BlackStar 2026 venue</t>
  </si>
  <si>
    <t xml:space="preserve">BlackStar</t>
  </si>
  <si>
    <t xml:space="preserve">H004</t>
  </si>
  <si>
    <t xml:space="preserve">Theatre Exile</t>
  </si>
  <si>
    <t xml:space="preserve">South Philadelphia</t>
  </si>
  <si>
    <t xml:space="preserve">1340 S 13th St</t>
  </si>
  <si>
    <t xml:space="preserve">Home venue of PUFF (Aug 25–30, 2026)</t>
  </si>
  <si>
    <t xml:space="preserve">PUFF</t>
  </si>
  <si>
    <t xml:space="preserve">https://www.theatreexile.org/renters-in-exile/philadelphia-unnamed-film-festival</t>
  </si>
  <si>
    <t xml:space="preserve">Live theater company; film via rentals.</t>
  </si>
  <si>
    <t xml:space="preserve">H005</t>
  </si>
  <si>
    <t xml:space="preserve">Symphony Philly (Studio Symphony)</t>
  </si>
  <si>
    <t xml:space="preserve">North Philadelphia / Kensington area</t>
  </si>
  <si>
    <t xml:space="preserve">1516 N 5th St</t>
  </si>
  <si>
    <t xml:space="preserve">PAAFF Spring Showcase (May 30, 2026); cinéSPEAK 'In Process' event</t>
  </si>
  <si>
    <t xml:space="preserve">PAAFF; cinéSPEAK</t>
  </si>
  <si>
    <t xml:space="preserve">https://www.visitphilly.com/articles/philadelphia/asian-american-pacific-islander-heritage-month-aapi/</t>
  </si>
  <si>
    <t xml:space="preserve">H006</t>
  </si>
  <si>
    <t xml:space="preserve">Penn Museum – Rainey Auditorium</t>
  </si>
  <si>
    <t xml:space="preserve">University City</t>
  </si>
  <si>
    <t xml:space="preserve">3260 South St</t>
  </si>
  <si>
    <t xml:space="preserve">PAAFF Spring Showcase screening</t>
  </si>
  <si>
    <t xml:space="preserve">PAAFF</t>
  </si>
  <si>
    <t xml:space="preserve">H007</t>
  </si>
  <si>
    <t xml:space="preserve">The Weitzman National Museum of American Jewish History</t>
  </si>
  <si>
    <t xml:space="preserve">Old City / Independence Mall</t>
  </si>
  <si>
    <t xml:space="preserve">PJFM home base; festival &amp; Docs &amp; Dialogues screenings</t>
  </si>
  <si>
    <t xml:space="preserve">Philadelphia Jewish Film + Media</t>
  </si>
  <si>
    <t xml:space="preserve">https://theweitzman.org/philadelphia-jewish-film-and-media/</t>
  </si>
  <si>
    <t xml:space="preserve">PJFM became a Weitzman program March 2026.</t>
  </si>
  <si>
    <t xml:space="preserve">H008</t>
  </si>
  <si>
    <t xml:space="preserve">Free Library of Philadelphia – Parkway Central (Montgomery Auditorium) and branches</t>
  </si>
  <si>
    <t xml:space="preserve">Logan Square + citywide</t>
  </si>
  <si>
    <t xml:space="preserve">Branch film series; Secret Cinema 16mm program (Apr 4, 2026)</t>
  </si>
  <si>
    <t xml:space="preserve">Free Library; The Secret Cinema</t>
  </si>
  <si>
    <t xml:space="preserve">https://libwww.freelibrary.org/calendar/event/165828</t>
  </si>
  <si>
    <t xml:space="preserve">Library calendar is structured — good ingestion candidate.</t>
  </si>
  <si>
    <t xml:space="preserve">H009</t>
  </si>
  <si>
    <t xml:space="preserve">Asian Arts Initiative</t>
  </si>
  <si>
    <t xml:space="preserve">Chinatown North</t>
  </si>
  <si>
    <t xml:space="preserve">1219 Vine St</t>
  </si>
  <si>
    <t xml:space="preserve">Historic PAAFF venue; community screenings</t>
  </si>
  <si>
    <t xml:space="preserve">H010</t>
  </si>
  <si>
    <t xml:space="preserve">Tattooed Mom</t>
  </si>
  <si>
    <t xml:space="preserve">South Street</t>
  </si>
  <si>
    <t xml:space="preserve">Screwball Screenings (local shorts + cult classic)</t>
  </si>
  <si>
    <t xml:space="preserve">Screwball Screenings</t>
  </si>
  <si>
    <t xml:space="preserve">https://www.broadstreetreview.com/features/meet-10-philly-film-clubs-welcoming-cinephiles-from-across-the-region</t>
  </si>
  <si>
    <t xml:space="preserve">Bar – 21+ considerations.</t>
  </si>
  <si>
    <t xml:space="preserve">H011</t>
  </si>
  <si>
    <t xml:space="preserve">The Head &amp; the Hand Books</t>
  </si>
  <si>
    <t xml:space="preserve">Fishtown</t>
  </si>
  <si>
    <t xml:space="preserve">Secret Handshake double features</t>
  </si>
  <si>
    <t xml:space="preserve">Secret Handshake</t>
  </si>
  <si>
    <t xml:space="preserve">H012</t>
  </si>
  <si>
    <t xml:space="preserve">Neon Clown Dream Lounge</t>
  </si>
  <si>
    <t xml:space="preserve">Sights &amp; Sounds – free, 2nd Wednesday monthly</t>
  </si>
  <si>
    <t xml:space="preserve">Sights &amp; Sounds</t>
  </si>
  <si>
    <t xml:space="preserve">H013</t>
  </si>
  <si>
    <t xml:space="preserve">Launderette Records</t>
  </si>
  <si>
    <t xml:space="preserve">Port Richmond</t>
  </si>
  <si>
    <t xml:space="preserve">Heavy Cycle Cinema (East Asian genre) and other clubs</t>
  </si>
  <si>
    <t xml:space="preserve">Heavy Cycle Cinema</t>
  </si>
  <si>
    <t xml:space="preserve">H014</t>
  </si>
  <si>
    <t xml:space="preserve">The Arts League</t>
  </si>
  <si>
    <t xml:space="preserve">VHS Club screenings (VHS projection)</t>
  </si>
  <si>
    <t xml:space="preserve">VHS Club</t>
  </si>
  <si>
    <t xml:space="preserve">H015</t>
  </si>
  <si>
    <t xml:space="preserve">Fireball Printing</t>
  </si>
  <si>
    <t xml:space="preserve">TBD (East Kensington area)</t>
  </si>
  <si>
    <t xml:space="preserve">Screwball 'Femmes in Film' shorts (Apr 2026)</t>
  </si>
  <si>
    <t xml:space="preserve">Screwball Screenings; East Kensington Arts Committee</t>
  </si>
  <si>
    <t xml:space="preserve">H016</t>
  </si>
  <si>
    <t xml:space="preserve">Ortlieb's</t>
  </si>
  <si>
    <t xml:space="preserve">Northern Liberties</t>
  </si>
  <si>
    <t xml:space="preserve">Bloodsick Underground Film Fest (Apr 18–19, 2026)</t>
  </si>
  <si>
    <t xml:space="preserve">Bloodsick Underground Cinema</t>
  </si>
  <si>
    <t xml:space="preserve">H017</t>
  </si>
  <si>
    <t xml:space="preserve">Two Locals Brewing</t>
  </si>
  <si>
    <t xml:space="preserve">cinéSPEAK screening (Mar 2026)</t>
  </si>
  <si>
    <t xml:space="preserve">cinéSPEAK</t>
  </si>
  <si>
    <t xml:space="preserve">https://www.34st.com/article/2026/02/philadelphia-independent-film-third-spaces-the-secret-cinema-lightbox-cinespeak-grassroots-organizations</t>
  </si>
  <si>
    <t xml:space="preserve">H018</t>
  </si>
  <si>
    <t xml:space="preserve">Vox Populi</t>
  </si>
  <si>
    <t xml:space="preserve">H019</t>
  </si>
  <si>
    <t xml:space="preserve">Clark Park</t>
  </si>
  <si>
    <t xml:space="preserve">West Philadelphia</t>
  </si>
  <si>
    <t xml:space="preserve">TBD (park)</t>
  </si>
  <si>
    <t xml:space="preserve">cinéSPEAK Under the Stars (June Fridays, historically)</t>
  </si>
  <si>
    <t xml:space="preserve">https://cinespeak.org/2024/04/02/list-of-film-festivals-in-philadelphia/</t>
  </si>
  <si>
    <t xml:space="preserve">Confirm 2026 edition.</t>
  </si>
  <si>
    <t xml:space="preserve">H020</t>
  </si>
  <si>
    <t xml:space="preserve">Fleisher Art Memorial</t>
  </si>
  <si>
    <t xml:space="preserve">Bella Vista</t>
  </si>
  <si>
    <t xml:space="preserve">Film screenings in Philm Club listings</t>
  </si>
  <si>
    <t xml:space="preserve">Fleisher</t>
  </si>
  <si>
    <t xml:space="preserve">https://philmclub.com/philmclub033</t>
  </si>
  <si>
    <t xml:space="preserve">H021</t>
  </si>
  <si>
    <t xml:space="preserve">Cartesian Brewing</t>
  </si>
  <si>
    <t xml:space="preserve">Horror screening in Philm Club listings</t>
  </si>
  <si>
    <t xml:space="preserve">H022</t>
  </si>
  <si>
    <t xml:space="preserve">The Keen Collection at Bethany Mission</t>
  </si>
  <si>
    <t xml:space="preserve">1527 Brandywine St</t>
  </si>
  <si>
    <t xml:space="preserve">Sourced (2023 listing)</t>
  </si>
  <si>
    <t xml:space="preserve">16mm screenings</t>
  </si>
  <si>
    <t xml:space="preserve">Keen Collection</t>
  </si>
  <si>
    <t xml:space="preserve">https://philmclub.com/philmclub012</t>
  </si>
  <si>
    <t xml:space="preserve">Status in 2026 unverified.</t>
  </si>
  <si>
    <t xml:space="preserve">H023</t>
  </si>
  <si>
    <t xml:space="preserve">Mercer Museum</t>
  </si>
  <si>
    <t xml:space="preserve">Doylestown (Bucks)</t>
  </si>
  <si>
    <t xml:space="preserve">Outdoor screening (Philm Club listing)</t>
  </si>
  <si>
    <t xml:space="preserve">H024</t>
  </si>
  <si>
    <t xml:space="preserve">Moore College of Art &amp; Design</t>
  </si>
  <si>
    <t xml:space="preserve">Logan Square (20th &amp; Parkway)</t>
  </si>
  <si>
    <t xml:space="preserve">Historic 'more-or-less permanent' Secret Cinema venue (older Yelp info)</t>
  </si>
  <si>
    <t xml:space="preserve">The Secret Cinema</t>
  </si>
  <si>
    <t xml:space="preserve">https://www.yelp.com/biz/secret-cinema-philadelphia</t>
  </si>
  <si>
    <t xml:space="preserve">Likely stale — confirm current use.</t>
  </si>
  <si>
    <t xml:space="preserve">H025</t>
  </si>
  <si>
    <t xml:space="preserve">The Delaware Contemporary</t>
  </si>
  <si>
    <t xml:space="preserve">Wilmington Riverfront, DE</t>
  </si>
  <si>
    <t xml:space="preserve">200 S Madison St</t>
  </si>
  <si>
    <t xml:space="preserve">Wilmington Int'l Film Festival venue</t>
  </si>
  <si>
    <t xml:space="preserve">WIFF</t>
  </si>
  <si>
    <t xml:space="preserve">H026</t>
  </si>
  <si>
    <t xml:space="preserve">Butcher's Sew Shop</t>
  </si>
  <si>
    <t xml:space="preserve">Bella Vista / Queen Village</t>
  </si>
  <si>
    <t xml:space="preserve">800 S 8th St</t>
  </si>
  <si>
    <t xml:space="preserve">South Philly Autonomous Cinema screenings</t>
  </si>
  <si>
    <t xml:space="preserve">South Philly Autonomous Cinema</t>
  </si>
  <si>
    <t xml:space="preserve">https://cinemaphilly.com/</t>
  </si>
  <si>
    <t xml:space="preserve">Sliding scale, no one turned away.</t>
  </si>
  <si>
    <t xml:space="preserve">H027</t>
  </si>
  <si>
    <t xml:space="preserve">Two Locals Brewing Company</t>
  </si>
  <si>
    <t xml:space="preserve">3675 Market St, Suite 100</t>
  </si>
  <si>
    <t xml:space="preserve">cinéSPEAK x Two Locals Movie Mondays</t>
  </si>
  <si>
    <t xml:space="preserve">https://cinespeak.org/</t>
  </si>
  <si>
    <t xml:space="preserve">Monthly, second Monday; free with donations encouraged.</t>
  </si>
  <si>
    <t xml:space="preserve">H028</t>
  </si>
  <si>
    <t xml:space="preserve">The Lawn at uCity Square</t>
  </si>
  <si>
    <t xml:space="preserve">3701 Filbert St</t>
  </si>
  <si>
    <t xml:space="preserve">Outdoor screenings; Fringe Festival film events</t>
  </si>
  <si>
    <t xml:space="preserve">cinéSPEAK; Obvious Agency</t>
  </si>
  <si>
    <t xml:space="preserve">Seasonal outdoor programming.</t>
  </si>
  <si>
    <t xml:space="preserve">H029</t>
  </si>
  <si>
    <t xml:space="preserve">Cira Green (Sunset Social)</t>
  </si>
  <si>
    <t xml:space="preserve">129 S 30th St</t>
  </si>
  <si>
    <t xml:space="preserve">Sunset Social Wednesday Movie Nights</t>
  </si>
  <si>
    <t xml:space="preserve">Sunset Social</t>
  </si>
  <si>
    <t xml:space="preserve">https://www.sunsetsocialphl.com/movie-nights</t>
  </si>
  <si>
    <t xml:space="preserve">Free rooftop series; Community &amp; Outdoor filter.</t>
  </si>
  <si>
    <t xml:space="preserve">H030</t>
  </si>
  <si>
    <t xml:space="preserve">Yellow Bicycle Theater</t>
  </si>
  <si>
    <t xml:space="preserve">1435 Arch St, Floor 2</t>
  </si>
  <si>
    <t xml:space="preserve">Bicycle Shorts Film Festival (Fringe)</t>
  </si>
  <si>
    <t xml:space="preserve">Philadelphia Fringe Festival presenters</t>
  </si>
  <si>
    <t xml:space="preserve">https://phillyfringe.org/</t>
  </si>
  <si>
    <t xml:space="preserve">H031</t>
  </si>
  <si>
    <t xml:space="preserve">719 Catharine St</t>
  </si>
  <si>
    <t xml:space="preserve">Latin American Science Fiction in Films series</t>
  </si>
  <si>
    <t xml:space="preserve">El Conejo en el Faro</t>
  </si>
  <si>
    <t xml:space="preserve">Free multi-week series.</t>
  </si>
  <si>
    <t xml:space="preserve">H032</t>
  </si>
  <si>
    <t xml:space="preserve">The Rotunda</t>
  </si>
  <si>
    <t xml:space="preserve">4014 Walnut St</t>
  </si>
  <si>
    <t xml:space="preserve">Community screenings; People's Media Fund showcases</t>
  </si>
  <si>
    <t xml:space="preserve">cinéSPEAK; People's Media Fund</t>
  </si>
  <si>
    <t xml:space="preserve">H033</t>
  </si>
  <si>
    <t xml:space="preserve">Callowhill</t>
  </si>
  <si>
    <t xml:space="preserve">319 N 11th St</t>
  </si>
  <si>
    <t xml:space="preserve">Black Box Presents: Arts In Action screenings</t>
  </si>
  <si>
    <t xml:space="preserve">Batikh Batikh; People's Media Fund</t>
  </si>
  <si>
    <t xml:space="preserve">https://voxpopuligallery.squarespace.com/</t>
  </si>
  <si>
    <t xml:space="preserve">H034</t>
  </si>
  <si>
    <t xml:space="preserve">Fringe Festival film, art and drag programs</t>
  </si>
  <si>
    <t xml:space="preserve">cinéSPEAK; Fringe presenters</t>
  </si>
  <si>
    <t xml:space="preserve">H035</t>
  </si>
  <si>
    <t xml:space="preserve">2223 FISH</t>
  </si>
  <si>
    <t xml:space="preserve">Kensington</t>
  </si>
  <si>
    <t xml:space="preserve">2223 E Dauphin St</t>
  </si>
  <si>
    <t xml:space="preserve">Mortal Coil: Kensington Crankie Festival</t>
  </si>
  <si>
    <t xml:space="preserve">Mortal Coil</t>
  </si>
  <si>
    <t xml:space="preserve">Crankie (hand-cranked panorama) — film-adjacent per J8.</t>
  </si>
  <si>
    <t xml:space="preserve">H036</t>
  </si>
  <si>
    <t xml:space="preserve">Blanche A. Nixon / Cobbs Creek Library</t>
  </si>
  <si>
    <t xml:space="preserve">Cobbs Creek</t>
  </si>
  <si>
    <t xml:space="preserve">5800 Cobbs Creek Pkwy</t>
  </si>
  <si>
    <t xml:space="preserve">cinéKIDZ youth film programs</t>
  </si>
  <si>
    <t xml:space="preserve">Free Library branch; family programming.</t>
  </si>
  <si>
    <t xml:space="preserve">Type</t>
  </si>
  <si>
    <t xml:space="preserve">Focus</t>
  </si>
  <si>
    <t xml:space="preserve">Typical Venue(s)</t>
  </si>
  <si>
    <t xml:space="preserve">Cadence</t>
  </si>
  <si>
    <t xml:space="preserve">Website / Social</t>
  </si>
  <si>
    <t xml:space="preserve">Event Data Source (for calendar ingestion)</t>
  </si>
  <si>
    <t xml:space="preserve">Status</t>
  </si>
  <si>
    <t xml:space="preserve">O001</t>
  </si>
  <si>
    <t xml:space="preserve">Exhibitor / festival presenter</t>
  </si>
  <si>
    <t xml:space="preserve">First-run, repertory, education, PFF</t>
  </si>
  <si>
    <t xml:space="preserve">Film Society Center, Bourse, East</t>
  </si>
  <si>
    <t xml:space="preserve">Daily</t>
  </si>
  <si>
    <t xml:space="preserve">Site showtimes + calendar view</t>
  </si>
  <si>
    <t xml:space="preserve">Also runs Movies on the Block, Open Caption Tuesdays, Philly Industry Meetup, community screenings.</t>
  </si>
  <si>
    <t xml:space="preserve">O002</t>
  </si>
  <si>
    <t xml:space="preserve">Nonprofit theater management</t>
  </si>
  <si>
    <t xml:space="preserve">Community arthouse</t>
  </si>
  <si>
    <t xml:space="preserve">Ambler, County, Hiway, Princeton Garden</t>
  </si>
  <si>
    <t xml:space="preserve">Each theater's site</t>
  </si>
  <si>
    <t xml:space="preserve">Each theater is its own 501(c)(3).</t>
  </si>
  <si>
    <t xml:space="preserve">O003</t>
  </si>
  <si>
    <t xml:space="preserve">Festival / presenter</t>
  </si>
  <si>
    <t xml:space="preserve">Black, Brown &amp; Indigenous film</t>
  </si>
  <si>
    <t xml:space="preserve">Avenue of the Arts venues; VIA</t>
  </si>
  <si>
    <t xml:space="preserve">Annual fest + weekly club</t>
  </si>
  <si>
    <t xml:space="preserve">https://blackstarprojects.org/</t>
  </si>
  <si>
    <t xml:space="preserve">Site</t>
  </si>
  <si>
    <t xml:space="preserve">https://blackstarprojects.org/festival</t>
  </si>
  <si>
    <t xml:space="preserve">O004</t>
  </si>
  <si>
    <t xml:space="preserve">Floating arthouse cinema + journal</t>
  </si>
  <si>
    <t xml:space="preserve">Independent film; community</t>
  </si>
  <si>
    <t xml:space="preserve">Rotating (Symphony Philly, breweries, Vox Populi, Clark Park)</t>
  </si>
  <si>
    <t xml:space="preserve">Frequent</t>
  </si>
  <si>
    <t xml:space="preserve">Eventive (cinespeak.eventive.org)</t>
  </si>
  <si>
    <t xml:space="preserve">Pursuing a physical venue (5-year effort per founder). Journal is a potential editorial peer/partner.</t>
  </si>
  <si>
    <t xml:space="preserve">O005</t>
  </si>
  <si>
    <t xml:space="preserve">Philadelphia Asian American Film Foundation (PAAFF)</t>
  </si>
  <si>
    <t xml:space="preserve">AANHPI film</t>
  </si>
  <si>
    <t xml:space="preserve">Various; VIA</t>
  </si>
  <si>
    <t xml:space="preserve">Annual fest + year-round</t>
  </si>
  <si>
    <t xml:space="preserve">https://paaff.org/</t>
  </si>
  <si>
    <t xml:space="preserve">Active – financially strained (furloughs reported May 2026)</t>
  </si>
  <si>
    <t xml:space="preserve">https://6abc.com/post/philadelphia-asian-american-film-foundation-call-support-celebration/19138114/</t>
  </si>
  <si>
    <t xml:space="preserve">O006</t>
  </si>
  <si>
    <t xml:space="preserve">Philadelphia Latino Arts &amp; Film Festival (PHLAFF)</t>
  </si>
  <si>
    <t xml:space="preserve">Latine arts &amp; film</t>
  </si>
  <si>
    <t xml:space="preserve">Various; People's Cinema Club</t>
  </si>
  <si>
    <t xml:space="preserve">Seasonal + year-round</t>
  </si>
  <si>
    <t xml:space="preserve">https://www.phlaff.org/</t>
  </si>
  <si>
    <t xml:space="preserve">O007</t>
  </si>
  <si>
    <t xml:space="preserve">Philadelphia Jewish Film + Media (PJFM)</t>
  </si>
  <si>
    <t xml:space="preserve">Festival / presenter (program of The Weitzman)</t>
  </si>
  <si>
    <t xml:space="preserve">Jewish film &amp; media</t>
  </si>
  <si>
    <t xml:space="preserve">The Weitzman + partner venues</t>
  </si>
  <si>
    <t xml:space="preserve">Fall fest + Docs &amp; Dialogues (May)</t>
  </si>
  <si>
    <t xml:space="preserve">https://phillyjfm.org/</t>
  </si>
  <si>
    <t xml:space="preserve">Elevent (goelevent.com/pjfm)</t>
  </si>
  <si>
    <t xml:space="preserve">https://theweitzman.org/press-releases/philadelphia-jewish-film-media-is-now-a-program-of-weitzman-national-museum-of-american-jewish-history/</t>
  </si>
  <si>
    <t xml:space="preserve">Oldest film festival in Philadelphia (founded 1981).</t>
  </si>
  <si>
    <t xml:space="preserve">O008</t>
  </si>
  <si>
    <t xml:space="preserve">Exhumed Films</t>
  </si>
  <si>
    <t xml:space="preserve">Repertory presenter</t>
  </si>
  <si>
    <t xml:space="preserve">Horror/exploitation on film prints</t>
  </si>
  <si>
    <t xml:space="preserve">Various; partners with PFS</t>
  </si>
  <si>
    <t xml:space="preserve">Periodic + annual marathon</t>
  </si>
  <si>
    <t xml:space="preserve">Social / partner venues</t>
  </si>
  <si>
    <t xml:space="preserve">https://filmadelphia.org/news/april-june-2026-curated-programming-lineup/</t>
  </si>
  <si>
    <t xml:space="preserve">Founded 1997; known for 24-hour horror marathon.</t>
  </si>
  <si>
    <t xml:space="preserve">O009</t>
  </si>
  <si>
    <t xml:space="preserve">Floating repertory (film projection only)</t>
  </si>
  <si>
    <t xml:space="preserve">Rare/classic 16mm &amp; 35mm</t>
  </si>
  <si>
    <t xml:space="preserve">Free Library, Woodmere, BMFI, others</t>
  </si>
  <si>
    <t xml:space="preserve">Periodic</t>
  </si>
  <si>
    <t xml:space="preserve">Email list / partner venues</t>
  </si>
  <si>
    <t xml:space="preserve">Founded 1992 by Jay Schwartz; self-funded. Laments loss of repertory listings in print — a gap your calendar fills.</t>
  </si>
  <si>
    <t xml:space="preserve">O010</t>
  </si>
  <si>
    <t xml:space="preserve">Philly Psychotronic Film Society</t>
  </si>
  <si>
    <t xml:space="preserve">Film club</t>
  </si>
  <si>
    <t xml:space="preserve">Cult/psychotronic</t>
  </si>
  <si>
    <t xml:space="preserve">PhilaMOCA</t>
  </si>
  <si>
    <t xml:space="preserve">Recurring</t>
  </si>
  <si>
    <t xml:space="preserve">http://psychotronicphilly.org</t>
  </si>
  <si>
    <t xml:space="preserve">PhilaMOCA calendar</t>
  </si>
  <si>
    <t xml:space="preserve">Active (verify cadence)</t>
  </si>
  <si>
    <t xml:space="preserve">https://philmclub.com/philmclub017</t>
  </si>
  <si>
    <t xml:space="preserve">O011</t>
  </si>
  <si>
    <t xml:space="preserve">Chestnut Hill Film Group</t>
  </si>
  <si>
    <t xml:space="preserve">Volunteer film society</t>
  </si>
  <si>
    <t xml:space="preserve">Classic &amp; rare</t>
  </si>
  <si>
    <t xml:space="preserve">Woodmere Art Museum</t>
  </si>
  <si>
    <t xml:space="preserve">Weekly (Tue 7 PM)</t>
  </si>
  <si>
    <t xml:space="preserve">Woodmere site</t>
  </si>
  <si>
    <t xml:space="preserve">Active (50+ years)</t>
  </si>
  <si>
    <t xml:space="preserve">https://www.chestnuthilllocal.com/stories/a-new-state-of-the-art-projection-system-for-woodmere-movie-nights,35092</t>
  </si>
  <si>
    <t xml:space="preserve">O012</t>
  </si>
  <si>
    <t xml:space="preserve">Girls Like Horror</t>
  </si>
  <si>
    <t xml:space="preserve">Horror by/about women; mixers</t>
  </si>
  <si>
    <t xml:space="preserve">Rotating (has worked with Lightbox, PFS)</t>
  </si>
  <si>
    <t xml:space="preserve">https://girlslikehorror.com/</t>
  </si>
  <si>
    <t xml:space="preserve">Site / social</t>
  </si>
  <si>
    <t xml:space="preserve">Founder Christina Acevedo.</t>
  </si>
  <si>
    <t xml:space="preserve">O013</t>
  </si>
  <si>
    <t xml:space="preserve">BeReel Black Cinema Club</t>
  </si>
  <si>
    <t xml:space="preserve">Film club / advocacy</t>
  </si>
  <si>
    <t xml:space="preserve">Independent &amp; rare Black film</t>
  </si>
  <si>
    <t xml:space="preserve">Attends screenings citywide</t>
  </si>
  <si>
    <t xml:space="preserve">Monthly meetups</t>
  </si>
  <si>
    <t xml:space="preserve">https://www.instagram.com/bereelblackcinemaclub/</t>
  </si>
  <si>
    <t xml:space="preserve">Instagram</t>
  </si>
  <si>
    <t xml:space="preserve">Founder Stephanye R. Watts; Philly + Brooklyn.</t>
  </si>
  <si>
    <t xml:space="preserve">O014</t>
  </si>
  <si>
    <t xml:space="preserve">Film club / festival</t>
  </si>
  <si>
    <t xml:space="preserve">Underground, SOV, micro-budget</t>
  </si>
  <si>
    <t xml:space="preserve">PhilaMOCA, Ortlieb's</t>
  </si>
  <si>
    <t xml:space="preserve">https://bloodsick.org/</t>
  </si>
  <si>
    <t xml:space="preserve">Site / FilmFreeway</t>
  </si>
  <si>
    <t xml:space="preserve">Run by Brewce Longo.</t>
  </si>
  <si>
    <t xml:space="preserve">O015</t>
  </si>
  <si>
    <t xml:space="preserve">Space Melt Cinema</t>
  </si>
  <si>
    <t xml:space="preserve">Weird/genre crowd screenings</t>
  </si>
  <si>
    <t xml:space="preserve">Film Society Center (and others)</t>
  </si>
  <si>
    <t xml:space="preserve">https://www.instagram.com/space_melt_cinema/</t>
  </si>
  <si>
    <t xml:space="preserve">O016</t>
  </si>
  <si>
    <t xml:space="preserve">East Asian crime/horror/kung fu</t>
  </si>
  <si>
    <t xml:space="preserve">https://linktr.ee/launderette</t>
  </si>
  <si>
    <t xml:space="preserve">Linktree / Instagram</t>
  </si>
  <si>
    <t xml:space="preserve">O017</t>
  </si>
  <si>
    <t xml:space="preserve">Themed double features</t>
  </si>
  <si>
    <t xml:space="preserve">https://linktr.ee/secrethandshakevintage</t>
  </si>
  <si>
    <t xml:space="preserve">O018</t>
  </si>
  <si>
    <t xml:space="preserve">Cult classics + live vinyl DJ</t>
  </si>
  <si>
    <t xml:space="preserve">Monthly (2nd Wed), free</t>
  </si>
  <si>
    <t xml:space="preserve">https://www.instagram.com/sightsandsoundsphl/</t>
  </si>
  <si>
    <t xml:space="preserve">O019</t>
  </si>
  <si>
    <t xml:space="preserve">Films projected from VHS; sliding-scale benefits</t>
  </si>
  <si>
    <t xml:space="preserve">The Arts League; PFS collaborations</t>
  </si>
  <si>
    <t xml:space="preserve">https://www.instagram.com/v.h.s_club/</t>
  </si>
  <si>
    <t xml:space="preserve">https://filmadelphia.org/showtimes/</t>
  </si>
  <si>
    <t xml:space="preserve">Curated by Nicole Goicuria; co-presented THE BIRDS at PFS 9/10/26.</t>
  </si>
  <si>
    <t xml:space="preserve">O020</t>
  </si>
  <si>
    <t xml:space="preserve">Reel Clueless</t>
  </si>
  <si>
    <t xml:space="preserve">Trivia + screening</t>
  </si>
  <si>
    <t xml:space="preserve">Film trivia night followed by themed film</t>
  </si>
  <si>
    <t xml:space="preserve">Local bars</t>
  </si>
  <si>
    <t xml:space="preserve">Monthly</t>
  </si>
  <si>
    <t xml:space="preserve">https://www.instagram.com/reelclueless/</t>
  </si>
  <si>
    <t xml:space="preserve">Host Mitch McCabe.</t>
  </si>
  <si>
    <t xml:space="preserve">O021</t>
  </si>
  <si>
    <t xml:space="preserve">Local shorts + vintage cult classic</t>
  </si>
  <si>
    <t xml:space="preserve">Tattooed Mom; pop-ups</t>
  </si>
  <si>
    <t xml:space="preserve">https://www.instagram.com/screwball_screenings/</t>
  </si>
  <si>
    <t xml:space="preserve">Run by Noah Cohen and Rachel Buccilli.</t>
  </si>
  <si>
    <t xml:space="preserve">O022</t>
  </si>
  <si>
    <t xml:space="preserve">Rough Cuts</t>
  </si>
  <si>
    <t xml:space="preserve">Filmmaker open mic</t>
  </si>
  <si>
    <t xml:space="preserve">Feedback for emerging filmmakers</t>
  </si>
  <si>
    <t xml:space="preserve">Recurring (verify)</t>
  </si>
  <si>
    <t xml:space="preserve">https://www.broadstreetreview.com/features/rough-cuts-builds-new-community-as-phillys-only-open-mic-for-filmmakers</t>
  </si>
  <si>
    <t xml:space="preserve">Described as Philly's only open mic for filmmakers (BSR, July 2026).</t>
  </si>
  <si>
    <t xml:space="preserve">O023</t>
  </si>
  <si>
    <t xml:space="preserve">Philadelphia Unnamed Film Festival (PUFF)</t>
  </si>
  <si>
    <t xml:space="preserve">Festival (volunteer nonprofit)</t>
  </si>
  <si>
    <t xml:space="preserve">Underground/genre-bending</t>
  </si>
  <si>
    <t xml:space="preserve">Annual + off-season co-hosts</t>
  </si>
  <si>
    <t xml:space="preserve">https://www.phillyunnamed.org/</t>
  </si>
  <si>
    <t xml:space="preserve">Eventive (phillyunnamed.eventive.org)</t>
  </si>
  <si>
    <t xml:space="preserve">Founded/operated by disabled and neurodivergent artists.</t>
  </si>
  <si>
    <t xml:space="preserve">O024</t>
  </si>
  <si>
    <t xml:space="preserve">Big Picture Alliance</t>
  </si>
  <si>
    <t xml:space="preserve">Youth filmmaking nonprofit</t>
  </si>
  <si>
    <t xml:space="preserve">Youth-made films</t>
  </si>
  <si>
    <t xml:space="preserve">Annual festival</t>
  </si>
  <si>
    <t xml:space="preserve">https://www.bigpicturealliance.org/</t>
  </si>
  <si>
    <t xml:space="preserve">Verify 2026</t>
  </si>
  <si>
    <t xml:space="preserve">O025</t>
  </si>
  <si>
    <t xml:space="preserve">Reelblack</t>
  </si>
  <si>
    <t xml:space="preserve">Presenter / restoration champion</t>
  </si>
  <si>
    <t xml:space="preserve">Black cinema, restorations</t>
  </si>
  <si>
    <t xml:space="preserve">PhilaMOCA (2024)</t>
  </si>
  <si>
    <t xml:space="preserve">Co-presented RIVERBEND restoration.</t>
  </si>
  <si>
    <t xml:space="preserve">O026</t>
  </si>
  <si>
    <t xml:space="preserve">Bok Movie Club</t>
  </si>
  <si>
    <t xml:space="preserve">Bok Building</t>
  </si>
  <si>
    <t xml:space="preserve">Verify – last seen 2024</t>
  </si>
  <si>
    <t xml:space="preserve">https://www.inquirer.com/arts/uarts-lightbox-film-center-reopening-20241003.html</t>
  </si>
  <si>
    <t xml:space="preserve">O027</t>
  </si>
  <si>
    <t xml:space="preserve">Park Friends Network / Phila. Parks &amp; Rec / Fairmount Park Conservancy</t>
  </si>
  <si>
    <t xml:space="preserve">Civic presenter</t>
  </si>
  <si>
    <t xml:space="preserve">Free outdoor family movies</t>
  </si>
  <si>
    <t xml:space="preserve">20+ city parks</t>
  </si>
  <si>
    <t xml:space="preserve">Seasonal (Jun 20–Oct 16, 2026)</t>
  </si>
  <si>
    <t xml:space="preserve">https://myphillypark.org/2026-movies-in-philly-parks/</t>
  </si>
  <si>
    <t xml:space="preserve">Published schedule page</t>
  </si>
  <si>
    <t xml:space="preserve">https://www.phila.gov/2026-07-10-enjoy-free-outdoor-movies-at-philadelphia-parks/</t>
  </si>
  <si>
    <t xml:space="preserve">Mostly mainstream family titles — decide whether these belong in the calendar.</t>
  </si>
  <si>
    <t xml:space="preserve">O028</t>
  </si>
  <si>
    <t xml:space="preserve">Temple University – Film &amp; Media Arts</t>
  </si>
  <si>
    <t xml:space="preserve">University presenter</t>
  </si>
  <si>
    <t xml:space="preserve">Student festivals (Diamond Screen, DiamondQ, BIPOC, Women's)</t>
  </si>
  <si>
    <t xml:space="preserve">Temple campus</t>
  </si>
  <si>
    <t xml:space="preserve">Academic year</t>
  </si>
  <si>
    <t xml:space="preserve">OnTheStage tickets</t>
  </si>
  <si>
    <t xml:space="preserve">O029</t>
  </si>
  <si>
    <t xml:space="preserve">Penn Cinema &amp; Media Studies</t>
  </si>
  <si>
    <t xml:space="preserve">Screenings &amp; talks, language-department series</t>
  </si>
  <si>
    <t xml:space="preserve">Penn campus</t>
  </si>
  <si>
    <t xml:space="preserve">https://cinemastudies.sas.upenn.edu/</t>
  </si>
  <si>
    <t xml:space="preserve">Events calendar</t>
  </si>
  <si>
    <t xml:space="preserve">Active (verify)</t>
  </si>
  <si>
    <t xml:space="preserve">O030</t>
  </si>
  <si>
    <t xml:space="preserve">Greater Philadelphia Film Office (GPFO)</t>
  </si>
  <si>
    <t xml:space="preserve">Film commission</t>
  </si>
  <si>
    <t xml:space="preserve">Production/industry</t>
  </si>
  <si>
    <t xml:space="preserve">https://film.org/</t>
  </si>
  <si>
    <t xml:space="preserve">Industry events</t>
  </si>
  <si>
    <t xml:space="preserve">Industry source, not a screening venue; useful for coverage and guest posts.</t>
  </si>
  <si>
    <t xml:space="preserve">O031</t>
  </si>
  <si>
    <t xml:space="preserve">South Jersey Film Office</t>
  </si>
  <si>
    <t xml:space="preserve">Film commission (Burlington, Camden, Gloucester)</t>
  </si>
  <si>
    <t xml:space="preserve">https://sjfilmoffice.com/</t>
  </si>
  <si>
    <t xml:space="preserve">Possible lead source for South Jersey gaps.</t>
  </si>
  <si>
    <t xml:space="preserve">O032</t>
  </si>
  <si>
    <t xml:space="preserve">Microcinema / film club</t>
  </si>
  <si>
    <t xml:space="preserve">Repertory, essay and international film</t>
  </si>
  <si>
    <t xml:space="preserve">Butcher's Sew Shop (800 S 8th St)</t>
  </si>
  <si>
    <t xml:space="preserve">Site screening pages</t>
  </si>
  <si>
    <t xml:space="preserve">Sliding scale, no one turned away. Added v2 from Sept 2026 listings.</t>
  </si>
  <si>
    <t xml:space="preserve">Festival</t>
  </si>
  <si>
    <t xml:space="preserve">Organizer</t>
  </si>
  <si>
    <t xml:space="preserve">2026 Dates</t>
  </si>
  <si>
    <t xml:space="preserve">Typical Timing</t>
  </si>
  <si>
    <t xml:space="preserve">Primary Venue(s)</t>
  </si>
  <si>
    <t xml:space="preserve">Ticketing</t>
  </si>
  <si>
    <t xml:space="preserve">F001</t>
  </si>
  <si>
    <t xml:space="preserve">Philadelphia Film Festival (PFF35)</t>
  </si>
  <si>
    <t xml:space="preserve">Philadelphia Film Society</t>
  </si>
  <si>
    <t xml:space="preserve">International &amp; independent</t>
  </si>
  <si>
    <t xml:space="preserve">October 2026 – exact dates TBD (confirm on filmadelphia.org/festival)</t>
  </si>
  <si>
    <t xml:space="preserve">October, 11 days</t>
  </si>
  <si>
    <t xml:space="preserve">PFS venues</t>
  </si>
  <si>
    <t xml:space="preserve">PFS site</t>
  </si>
  <si>
    <t xml:space="preserve">Upcoming</t>
  </si>
  <si>
    <t xml:space="preserve">Preceded by a 35mm showcase at Film Society Center, Oct 1–14, 2026 (Visit Philly). PFF34 ran Oct 16–26, 2025.</t>
  </si>
  <si>
    <t xml:space="preserve">F002</t>
  </si>
  <si>
    <t xml:space="preserve">SpringFest</t>
  </si>
  <si>
    <t xml:space="preserve">New voices, global to local</t>
  </si>
  <si>
    <t xml:space="preserve">Apr 17–23, 2026</t>
  </si>
  <si>
    <t xml:space="preserve">April</t>
  </si>
  <si>
    <t xml:space="preserve">Completed 2026</t>
  </si>
  <si>
    <t xml:space="preserve">https://filmadelphia.org/springfest/</t>
  </si>
  <si>
    <t xml:space="preserve">F003</t>
  </si>
  <si>
    <t xml:space="preserve">BlackStar Film Festival</t>
  </si>
  <si>
    <t xml:space="preserve">Aug 6–9, 2026 (15th)</t>
  </si>
  <si>
    <t xml:space="preserve">August</t>
  </si>
  <si>
    <t xml:space="preserve">Kimmel Center, Wilma Theater, Suzanne Roberts Theatre</t>
  </si>
  <si>
    <t xml:space="preserve">BlackStar site</t>
  </si>
  <si>
    <t xml:space="preserve">91 films, 30+ countries; many streamed online.</t>
  </si>
  <si>
    <t xml:space="preserve">F004</t>
  </si>
  <si>
    <t xml:space="preserve">Philadelphia Asian American Film Festival (PAAFF)</t>
  </si>
  <si>
    <t xml:space="preserve">Philadelphia Asian American Film Foundation</t>
  </si>
  <si>
    <t xml:space="preserve">Nov 5–15, 2026 (19th)</t>
  </si>
  <si>
    <t xml:space="preserve">November</t>
  </si>
  <si>
    <t xml:space="preserve">Various</t>
  </si>
  <si>
    <t xml:space="preserve">PAAFF site</t>
  </si>
  <si>
    <t xml:space="preserve">https://asianfilmfestivals.com/2026/02/16/philadelphia-asian-american-film-festival-call-for-entry-2026/</t>
  </si>
  <si>
    <t xml:space="preserve">Dates from a festival-listings site; confirm on paaff.org.</t>
  </si>
  <si>
    <t xml:space="preserve">F005</t>
  </si>
  <si>
    <t xml:space="preserve">Philadelphia Jewish Film + Media Festival</t>
  </si>
  <si>
    <t xml:space="preserve">PJFM (program of The Weitzman)</t>
  </si>
  <si>
    <t xml:space="preserve">Nov 12–21 (46th; 'Save the Dates' on PJFM site)</t>
  </si>
  <si>
    <t xml:space="preserve">Elevent</t>
  </si>
  <si>
    <t xml:space="preserve">Year not printed beside the dates on the snippet seen — confirm it's 2026.</t>
  </si>
  <si>
    <t xml:space="preserve">F006</t>
  </si>
  <si>
    <t xml:space="preserve">Underground / genre-bending</t>
  </si>
  <si>
    <t xml:space="preserve">Aug 25–30, 2026 (11th)</t>
  </si>
  <si>
    <t xml:space="preserve">Late summer / early fall</t>
  </si>
  <si>
    <t xml:space="preserve">Eventive</t>
  </si>
  <si>
    <t xml:space="preserve">Timing shifts year to year (PUFFX was Oct 1–5, 2025).</t>
  </si>
  <si>
    <t xml:space="preserve">F007</t>
  </si>
  <si>
    <t xml:space="preserve">PHLAFF</t>
  </si>
  <si>
    <t xml:space="preserve">2026 season held (dates not captured); Sept 15 People's Cinema Club program</t>
  </si>
  <si>
    <t xml:space="preserve">Spring–summer (historically multi-week)</t>
  </si>
  <si>
    <t xml:space="preserve">PHLAFF site</t>
  </si>
  <si>
    <t xml:space="preserve">Completed 2026 main season</t>
  </si>
  <si>
    <t xml:space="preserve">F008</t>
  </si>
  <si>
    <t xml:space="preserve">Bucks County FilmFest</t>
  </si>
  <si>
    <t xml:space="preserve">Local &amp; emerging filmmakers</t>
  </si>
  <si>
    <t xml:space="preserve">Oct 17, 2026</t>
  </si>
  <si>
    <t xml:space="preserve">October</t>
  </si>
  <si>
    <t xml:space="preserve">Festival site</t>
  </si>
  <si>
    <t xml:space="preserve">https://patch.com/pennsylvania/newtown-pa/bucks-county-filmfest-finds-new-home-newtown</t>
  </si>
  <si>
    <t xml:space="preserve">Founded 1999; relocated to Newtown Theatre for 2026.</t>
  </si>
  <si>
    <t xml:space="preserve">F009</t>
  </si>
  <si>
    <t xml:space="preserve">New Hope Film Festival</t>
  </si>
  <si>
    <t xml:space="preserve">Global independent</t>
  </si>
  <si>
    <t xml:space="preserve">Next edition Apr 16–25, 2027 (16th)</t>
  </si>
  <si>
    <t xml:space="preserve">Shifted (was August in 2025)</t>
  </si>
  <si>
    <t xml:space="preserve">New Hope, Bucks</t>
  </si>
  <si>
    <t xml:space="preserve">Between editions</t>
  </si>
  <si>
    <t xml:space="preserve">https://filmfreeway.com/NewHopeFilmFestival</t>
  </si>
  <si>
    <t xml:space="preserve">F010</t>
  </si>
  <si>
    <t xml:space="preserve">Bloodsick Underground Film Fest</t>
  </si>
  <si>
    <t xml:space="preserve">Underground / micro-budget</t>
  </si>
  <si>
    <t xml:space="preserve">Apr 18–19, 2026 (1st)</t>
  </si>
  <si>
    <t xml:space="preserve">PhilaMOCA; Ortlieb's</t>
  </si>
  <si>
    <t xml:space="preserve">FilmFreeway / site</t>
  </si>
  <si>
    <t xml:space="preserve">F011</t>
  </si>
  <si>
    <t xml:space="preserve">Wilmington International Film Festival</t>
  </si>
  <si>
    <t xml:space="preserve">Independent film, local artists, music</t>
  </si>
  <si>
    <t xml:space="preserve">2026 dates not confirmed (2025: Oct 9–12)</t>
  </si>
  <si>
    <t xml:space="preserve">Theatre N, Screening Room at 1313, Delaware Contemporary</t>
  </si>
  <si>
    <t xml:space="preserve">F012</t>
  </si>
  <si>
    <t xml:space="preserve">Bleak Week: Cinema of Despair</t>
  </si>
  <si>
    <t xml:space="preserve">PFS with American Cinematheque and Lightbox</t>
  </si>
  <si>
    <t xml:space="preserve">Bleak world cinema</t>
  </si>
  <si>
    <t xml:space="preserve">Spring 2026 (lineup announced Apr 1)</t>
  </si>
  <si>
    <t xml:space="preserve">Spring</t>
  </si>
  <si>
    <t xml:space="preserve">F013</t>
  </si>
  <si>
    <t xml:space="preserve">qFLIX Philadelphia</t>
  </si>
  <si>
    <t xml:space="preserve">qFLIX Film Festivals</t>
  </si>
  <si>
    <t xml:space="preserve">LGBTQ+</t>
  </si>
  <si>
    <t xml:space="preserve">No 2026 edition confirmed</t>
  </si>
  <si>
    <t xml:space="preserve">Historically fall</t>
  </si>
  <si>
    <t xml:space="preserve">Historically Suzanne Roberts, PFS venues</t>
  </si>
  <si>
    <t xml:space="preserve">Verify – status unclear</t>
  </si>
  <si>
    <t xml:space="preserve">https://www.facebook.com/qFLIXfestivals/</t>
  </si>
  <si>
    <t xml:space="preserve">Social page teases a 'NEW Philadelphia International LGBTQ+ Film Festival.' Recognized by City Council Sept 2025.</t>
  </si>
  <si>
    <t xml:space="preserve">F014</t>
  </si>
  <si>
    <t xml:space="preserve">FirstGlance Film Festival Philadelphia</t>
  </si>
  <si>
    <t xml:space="preserve">FirstGlance</t>
  </si>
  <si>
    <t xml:space="preserve">Independent; 20+ categories</t>
  </si>
  <si>
    <t xml:space="preserve">Not confirmed</t>
  </si>
  <si>
    <t xml:space="preserve">Historically October</t>
  </si>
  <si>
    <t xml:space="preserve">Verify</t>
  </si>
  <si>
    <t xml:space="preserve">F015</t>
  </si>
  <si>
    <t xml:space="preserve">The Women's Film Festival</t>
  </si>
  <si>
    <t xml:space="preserve">Women &amp; nonbinary filmmakers</t>
  </si>
  <si>
    <t xml:space="preserve">Historically September</t>
  </si>
  <si>
    <t xml:space="preserve">F016</t>
  </si>
  <si>
    <t xml:space="preserve">Off Page Film Festival</t>
  </si>
  <si>
    <t xml:space="preserve">Off Page</t>
  </si>
  <si>
    <t xml:space="preserve">Shorts, trailers, scripts; workshops</t>
  </si>
  <si>
    <t xml:space="preserve">Historically November</t>
  </si>
  <si>
    <t xml:space="preserve">Manayunk</t>
  </si>
  <si>
    <t xml:space="preserve">F017</t>
  </si>
  <si>
    <t xml:space="preserve">cinéSPEAK Under the Stars</t>
  </si>
  <si>
    <t xml:space="preserve">Award-winning indie films outdoors</t>
  </si>
  <si>
    <t xml:space="preserve">Historically four June Fridays</t>
  </si>
  <si>
    <t xml:space="preserve">F018</t>
  </si>
  <si>
    <t xml:space="preserve">Big Picture Film Festival</t>
  </si>
  <si>
    <t xml:space="preserve">Historically June</t>
  </si>
  <si>
    <t xml:space="preserve">F019</t>
  </si>
  <si>
    <t xml:space="preserve">Hot Bits Film Festival</t>
  </si>
  <si>
    <t xml:space="preserve">Volunteer collective (queer BIPOC artists)</t>
  </si>
  <si>
    <t xml:space="preserve">Queer adult film (18+)</t>
  </si>
  <si>
    <t xml:space="preserve">Historically June (Philly + Baltimore)</t>
  </si>
  <si>
    <t xml:space="preserve">Adult content — editorial-policy decision (see Judgment Calls).</t>
  </si>
  <si>
    <t xml:space="preserve">F020</t>
  </si>
  <si>
    <t xml:space="preserve">Diamond Screen Film &amp; Media Arts Festival (+ DiamondQ, BIPOC, Women's)</t>
  </si>
  <si>
    <t xml:space="preserve">Temple Film &amp; Media Arts</t>
  </si>
  <si>
    <t xml:space="preserve">Student work</t>
  </si>
  <si>
    <t xml:space="preserve">May (end of semester)</t>
  </si>
  <si>
    <t xml:space="preserve">Temple</t>
  </si>
  <si>
    <t xml:space="preserve">OnTheStage</t>
  </si>
  <si>
    <t xml:space="preserve">F021</t>
  </si>
  <si>
    <t xml:space="preserve">Tri-Co Film Festival</t>
  </si>
  <si>
    <t xml:space="preserve">Bryn Mawr, Haverford, Swarthmore</t>
  </si>
  <si>
    <t xml:space="preserve">May</t>
  </si>
  <si>
    <t xml:space="preserve">F022</t>
  </si>
  <si>
    <t xml:space="preserve">Blobfest</t>
  </si>
  <si>
    <t xml:space="preserve">The Colonial Theatre</t>
  </si>
  <si>
    <t xml:space="preserve">Celebration of THE BLOB (filmed in Phoenixville)</t>
  </si>
  <si>
    <t xml:space="preserve">Not captured this pass</t>
  </si>
  <si>
    <t xml:space="preserve">Annual, summer</t>
  </si>
  <si>
    <t xml:space="preserve">Colonial site</t>
  </si>
  <si>
    <t xml:space="preserve">Verify – not sourced this pass</t>
  </si>
  <si>
    <t xml:space="preserve">Well-known annual event; add source when confirmed.</t>
  </si>
  <si>
    <t xml:space="preserve">F023</t>
  </si>
  <si>
    <t xml:space="preserve">Wawa Welcome America free screenings</t>
  </si>
  <si>
    <t xml:space="preserve">PFS with Wawa Welcome America</t>
  </si>
  <si>
    <t xml:space="preserve">Films starring/directed by Philadelphians</t>
  </si>
  <si>
    <t xml:space="preserve">Two weeks in June 2026</t>
  </si>
  <si>
    <t xml:space="preserve">June–July</t>
  </si>
  <si>
    <t xml:space="preserve">F024</t>
  </si>
  <si>
    <t xml:space="preserve">Phoenixville Film Festival</t>
  </si>
  <si>
    <t xml:space="preserve">Phoenixville Film Festival (nonprofit)</t>
  </si>
  <si>
    <t xml:space="preserve">Independent film, screenplay readings, panels</t>
  </si>
  <si>
    <t xml:space="preserve">Sep 17–20, 2026 (4th annual)</t>
  </si>
  <si>
    <t xml:space="preserve">Mid-to-late September, four days</t>
  </si>
  <si>
    <t xml:space="preserve">Colonial / festival site</t>
  </si>
  <si>
    <t xml:space="preserve">https://thecolonialtheatre.com/events/colonial-events/phoenixville-film-festival/</t>
  </si>
  <si>
    <t xml:space="preserve">Missing from v1. Uses the Colonial's Berry, White Rabbit and Garden Suite rooms.</t>
  </si>
  <si>
    <t xml:space="preserve">Series / Event</t>
  </si>
  <si>
    <t xml:space="preserve">Presenter</t>
  </si>
  <si>
    <t xml:space="preserve">Format / Focus</t>
  </si>
  <si>
    <t xml:space="preserve">Cost</t>
  </si>
  <si>
    <t xml:space="preserve">S001</t>
  </si>
  <si>
    <t xml:space="preserve">Tuesday Nights at the Movies</t>
  </si>
  <si>
    <t xml:space="preserve">Weekly, Tue 7 PM</t>
  </si>
  <si>
    <t xml:space="preserve">Free / suggested donation</t>
  </si>
  <si>
    <t xml:space="preserve">S002</t>
  </si>
  <si>
    <t xml:space="preserve">Cultural Film &amp; Lecture Series</t>
  </si>
  <si>
    <t xml:space="preserve">Connelly Center Cinema</t>
  </si>
  <si>
    <t xml:space="preserve">~10 films/semester; Sun 3:30 &amp; 7, Mon 7</t>
  </si>
  <si>
    <t xml:space="preserve">Thematic; Monday speaker</t>
  </si>
  <si>
    <t xml:space="preserve">Free</t>
  </si>
  <si>
    <t xml:space="preserve">S003</t>
  </si>
  <si>
    <t xml:space="preserve">People's Cinema Club</t>
  </si>
  <si>
    <t xml:space="preserve">BlackStar, cinéSPEAK, PAAFF, PHLAFF</t>
  </si>
  <si>
    <t xml:space="preserve">VIA, 320 S Broad St</t>
  </si>
  <si>
    <t xml:space="preserve">Weekly, Tue 6:30 PM</t>
  </si>
  <si>
    <t xml:space="preserve">Curated independent film</t>
  </si>
  <si>
    <t xml:space="preserve">New as of Aug 2026.</t>
  </si>
  <si>
    <t xml:space="preserve">S004</t>
  </si>
  <si>
    <t xml:space="preserve">Storyville</t>
  </si>
  <si>
    <t xml:space="preserve">Scribe</t>
  </si>
  <si>
    <t xml:space="preserve">New local film/video works</t>
  </si>
  <si>
    <t xml:space="preserve">https://scribe.org/about-us</t>
  </si>
  <si>
    <t xml:space="preserve">S005</t>
  </si>
  <si>
    <t xml:space="preserve">Producers' Forum</t>
  </si>
  <si>
    <t xml:space="preserve">Visiting media makers, lecture + screening</t>
  </si>
  <si>
    <t xml:space="preserve">S006</t>
  </si>
  <si>
    <t xml:space="preserve">Street Movies!</t>
  </si>
  <si>
    <t xml:space="preserve">Outdoor sites in Philadelphia &amp; Camden</t>
  </si>
  <si>
    <t xml:space="preserve">Summer</t>
  </si>
  <si>
    <t xml:space="preserve">Independent film outdoors</t>
  </si>
  <si>
    <t xml:space="preserve">One of the few confirmed Camden, NJ film presences.</t>
  </si>
  <si>
    <t xml:space="preserve">S007</t>
  </si>
  <si>
    <t xml:space="preserve">Cinema Under the Stars / Park Friends Movie Nights</t>
  </si>
  <si>
    <t xml:space="preserve">Park Friends groups, Phila. Parks &amp; Rec, Fairmount Park Conservancy</t>
  </si>
  <si>
    <t xml:space="preserve">Jun 20–Oct 16, 2026</t>
  </si>
  <si>
    <t xml:space="preserve">Family titles</t>
  </si>
  <si>
    <t xml:space="preserve">Schedule published per park — easy to ingest.</t>
  </si>
  <si>
    <t xml:space="preserve">S008</t>
  </si>
  <si>
    <t xml:space="preserve">Surprise 35!</t>
  </si>
  <si>
    <t xml:space="preserve">PFS</t>
  </si>
  <si>
    <t xml:space="preserve">Monthly until PFF35</t>
  </si>
  <si>
    <t xml:space="preserve">Mystery 35mm screening</t>
  </si>
  <si>
    <t xml:space="preserve">Ticketed</t>
  </si>
  <si>
    <t xml:space="preserve">https://filmadelphia.org/film-series/</t>
  </si>
  <si>
    <t xml:space="preserve">S009</t>
  </si>
  <si>
    <t xml:space="preserve">Open Caption Tuesdays</t>
  </si>
  <si>
    <t xml:space="preserve">Weekly</t>
  </si>
  <si>
    <t xml:space="preserve">Accessibility programming</t>
  </si>
  <si>
    <t xml:space="preserve">S010</t>
  </si>
  <si>
    <t xml:space="preserve">Movies on the Block / Community Screenings</t>
  </si>
  <si>
    <t xml:space="preserve">Neighborhood sites / partners</t>
  </si>
  <si>
    <t xml:space="preserve">Free community screenings</t>
  </si>
  <si>
    <t xml:space="preserve">https://filmadelphia.org/series/community-screenings/</t>
  </si>
  <si>
    <t xml:space="preserve">S011</t>
  </si>
  <si>
    <t xml:space="preserve">Philly Industry Meetup</t>
  </si>
  <si>
    <t xml:space="preserve">Industry networking</t>
  </si>
  <si>
    <t xml:space="preserve">Film-related event (non-screening).</t>
  </si>
  <si>
    <t xml:space="preserve">S012</t>
  </si>
  <si>
    <t xml:space="preserve">Local filmmaker showcase (monthly, free)</t>
  </si>
  <si>
    <t xml:space="preserve">Up-and-coming local filmmakers + discussion</t>
  </si>
  <si>
    <t xml:space="preserve">Exact series name not captured.</t>
  </si>
  <si>
    <t xml:space="preserve">S013</t>
  </si>
  <si>
    <t xml:space="preserve">Monthly, 2nd Wed</t>
  </si>
  <si>
    <t xml:space="preserve">Cult film + vinyl DJ</t>
  </si>
  <si>
    <t xml:space="preserve">S014</t>
  </si>
  <si>
    <t xml:space="preserve">Reel Clueless trivia</t>
  </si>
  <si>
    <t xml:space="preserve">Trivia + themed screening</t>
  </si>
  <si>
    <t xml:space="preserve">S015</t>
  </si>
  <si>
    <t xml:space="preserve">Rough Cuts open mic</t>
  </si>
  <si>
    <t xml:space="preserve">Filmmaker work-in-progress feedback</t>
  </si>
  <si>
    <t xml:space="preserve">S016</t>
  </si>
  <si>
    <t xml:space="preserve">Cinema Classics Seminar</t>
  </si>
  <si>
    <t xml:space="preserve">BMFI</t>
  </si>
  <si>
    <t xml:space="preserve">Lecture + screening</t>
  </si>
  <si>
    <t xml:space="preserve">S017</t>
  </si>
  <si>
    <t xml:space="preserve">Talk Cinema</t>
  </si>
  <si>
    <t xml:space="preserve">Bryn Mawr Film Institute (curated by Harlan Jacobson)</t>
  </si>
  <si>
    <t xml:space="preserve">Recurring Sundays</t>
  </si>
  <si>
    <t xml:space="preserve">Sneak previews + discussion</t>
  </si>
  <si>
    <t xml:space="preserve">S018</t>
  </si>
  <si>
    <t xml:space="preserve">Science on Screen</t>
  </si>
  <si>
    <t xml:space="preserve">County Theater (Renew); also PFS</t>
  </si>
  <si>
    <t xml:space="preserve">County Theater; PFS</t>
  </si>
  <si>
    <t xml:space="preserve">Film + science talk</t>
  </si>
  <si>
    <t xml:space="preserve">S019</t>
  </si>
  <si>
    <t xml:space="preserve">Page to Screen</t>
  </si>
  <si>
    <t xml:space="preserve">Newtown Theatre</t>
  </si>
  <si>
    <t xml:space="preserve">Literary adaptations</t>
  </si>
  <si>
    <t xml:space="preserve">S020</t>
  </si>
  <si>
    <t xml:space="preserve">Branch film series (e.g., Black History screenings)</t>
  </si>
  <si>
    <t xml:space="preserve">Free Library of Philadelphia</t>
  </si>
  <si>
    <t xml:space="preserve">Library branches</t>
  </si>
  <si>
    <t xml:space="preserve">Seasonal</t>
  </si>
  <si>
    <t xml:space="preserve">Varied</t>
  </si>
  <si>
    <t xml:space="preserve">S021</t>
  </si>
  <si>
    <t xml:space="preserve">Movie Mondays</t>
  </si>
  <si>
    <t xml:space="preserve">cinéSPEAK x Two Locals</t>
  </si>
  <si>
    <t xml:space="preserve">Monthly, 2nd Monday</t>
  </si>
  <si>
    <t xml:space="preserve">Innovative Black filmmakers; happy hour, screening, discussion</t>
  </si>
  <si>
    <t xml:space="preserve">Free (donations encouraged)</t>
  </si>
  <si>
    <t xml:space="preserve">Added v2.</t>
  </si>
  <si>
    <t xml:space="preserve">S022</t>
  </si>
  <si>
    <t xml:space="preserve">Cira Green rooftop</t>
  </si>
  <si>
    <t xml:space="preserve">Weekly, Wed 6 PM, seasonal</t>
  </si>
  <si>
    <t xml:space="preserve">Mainstream / crowd-pleasers outdoors</t>
  </si>
  <si>
    <t xml:space="preserve">Community &amp; Outdoor filter per J6.</t>
  </si>
  <si>
    <t xml:space="preserve">S023</t>
  </si>
  <si>
    <t xml:space="preserve">cinéKIDZ</t>
  </si>
  <si>
    <t xml:space="preserve">Rotating (library branches, outdoor sites)</t>
  </si>
  <si>
    <t xml:space="preserve">Youth program, ages 3–10, shorts and activities</t>
  </si>
  <si>
    <t xml:space="preserve">Launched Sept 2026.</t>
  </si>
  <si>
    <t xml:space="preserve">Question</t>
  </si>
  <si>
    <t xml:space="preserve">Why it's ambiguous</t>
  </si>
  <si>
    <t xml:space="preserve">Options</t>
  </si>
  <si>
    <t xml:space="preserve">Suggestion (Claude's, for your call)</t>
  </si>
  <si>
    <t xml:space="preserve">Your Decision</t>
  </si>
  <si>
    <t xml:space="preserve">J1</t>
  </si>
  <si>
    <t xml:space="preserve">Include Landmark Ritz Five?</t>
  </si>
  <si>
    <t xml:space="preserve">Landmark is a national chain, but the Ritz Five programs arthouse/foreign/doc and repertory — squarely your beat.</t>
  </si>
  <si>
    <t xml:space="preserve">(a) Include; (b) Exclude; (c) Include special/repertory events only</t>
  </si>
  <si>
    <t xml:space="preserve">Define the exclusion by named brands (AMC, Regal/UA, Cinemark, Marcus/Movie Tavern) rather than 'any chain,' which keeps the Ritz Five in.</t>
  </si>
  <si>
    <t xml:space="preserve">a</t>
  </si>
  <si>
    <t xml:space="preserve">J2</t>
  </si>
  <si>
    <t xml:space="preserve">Include Penn Cinema (Huntingdon Valley; Wilmington Riverfront)?</t>
  </si>
  <si>
    <t xml:space="preserve">Regional, not national, chain — but mainstream multiplex programming.</t>
  </si>
  <si>
    <t xml:space="preserve">(a) Include; (b) Exclude showtimes, include special events; (c) Exclude</t>
  </si>
  <si>
    <t xml:space="preserve">(b) — consistent with the spirit of excluding mainstream multiplexes.</t>
  </si>
  <si>
    <t xml:space="preserve">b</t>
  </si>
  <si>
    <t xml:space="preserve">J3</t>
  </si>
  <si>
    <t xml:space="preserve">Include Reel Cinemas Narberth?</t>
  </si>
  <si>
    <t xml:space="preserve">Locally owned (meets your rule) but plays mainstream first-run.</t>
  </si>
  <si>
    <t xml:space="preserve">(a) Include all; (b) Include specialty titles only</t>
  </si>
  <si>
    <t xml:space="preserve">(a) — it's independent, and that's the rule you set.</t>
  </si>
  <si>
    <t xml:space="preserve">J4</t>
  </si>
  <si>
    <t xml:space="preserve">Special events hosted at excluded chains?</t>
  </si>
  <si>
    <t xml:space="preserve">Festivals, touring series, or presenters sometimes use chain screens.</t>
  </si>
  <si>
    <t xml:space="preserve">(a) Exclude everything at chain venues; (b) Exclude regular showtimes only</t>
  </si>
  <si>
    <t xml:space="preserve">(b) — otherwise you'd drop legitimate festival/presenter events.</t>
  </si>
  <si>
    <t xml:space="preserve">J5</t>
  </si>
  <si>
    <t xml:space="preserve">Geographic boundary</t>
  </si>
  <si>
    <t xml:space="preserve">'Greater Philadelphia' can mean the 5 SE PA counties, the 11-county MSA, or a looser radius.</t>
  </si>
  <si>
    <t xml:space="preserve">(a) 5 PA counties; (b) 11-county MSA; (c) MSA + 'worth the trip' fringe layer</t>
  </si>
  <si>
    <t xml:space="preserve">(c) — the workbook tags every venue Core vs. Fringe so the map can toggle a fringe layer.</t>
  </si>
  <si>
    <t xml:space="preserve">J6</t>
  </si>
  <si>
    <t xml:space="preserve">Park/civic family movie nights (mainstream titles, free)</t>
  </si>
  <si>
    <t xml:space="preserve">Community events, but programming is mostly studio family fare.</t>
  </si>
  <si>
    <t xml:space="preserve">(a) Include; (b) Exclude; (c) Separate 'Community &amp; Outdoor' filter</t>
  </si>
  <si>
    <t xml:space="preserve">(c)</t>
  </si>
  <si>
    <t xml:space="preserve">c</t>
  </si>
  <si>
    <t xml:space="preserve">J7</t>
  </si>
  <si>
    <t xml:space="preserve">Adult-content festivals (e.g., Hot Bits)</t>
  </si>
  <si>
    <t xml:space="preserve">Legitimate local festival; editorial/audience policy question.</t>
  </si>
  <si>
    <t xml:space="preserve">(a) List with 18+ tag; (b) Omit</t>
  </si>
  <si>
    <t xml:space="preserve">Your editorial call.</t>
  </si>
  <si>
    <t xml:space="preserve">J8</t>
  </si>
  <si>
    <t xml:space="preserve">Mixed-use venues (PhilaMOCA, Newtown Theatre)</t>
  </si>
  <si>
    <t xml:space="preserve">Calendars mix film with music/comedy.</t>
  </si>
  <si>
    <t xml:space="preserve">(a) Film only; (b) Film + film-adjacent (live scores, film trivia)</t>
  </si>
  <si>
    <t xml:space="preserve">(b) — live-scored silents and film trivia are film events.</t>
  </si>
  <si>
    <t xml:space="preserve">Brand (Parent)</t>
  </si>
  <si>
    <t xml:space="preserve">Location</t>
  </si>
  <si>
    <t xml:space="preserve">Address</t>
  </si>
  <si>
    <t xml:space="preserve">City/State</t>
  </si>
  <si>
    <t xml:space="preserve">AMC</t>
  </si>
  <si>
    <t xml:space="preserve">AMC DINE-IN Fashion District 8</t>
  </si>
  <si>
    <t xml:space="preserve">1001 Market St, Ste 3050</t>
  </si>
  <si>
    <t xml:space="preserve">Philadelphia, PA</t>
  </si>
  <si>
    <t xml:space="preserve">AMC Broadstreet 7</t>
  </si>
  <si>
    <t xml:space="preserve">1600 N Broad St</t>
  </si>
  <si>
    <t xml:space="preserve">Cinemark</t>
  </si>
  <si>
    <t xml:space="preserve">Cinemark University City Penn 6</t>
  </si>
  <si>
    <t xml:space="preserve">4012 Walnut St</t>
  </si>
  <si>
    <t xml:space="preserve">Regal (UA)</t>
  </si>
  <si>
    <t xml:space="preserve">Regal UA Main Street</t>
  </si>
  <si>
    <t xml:space="preserve">3720 Main St</t>
  </si>
  <si>
    <t xml:space="preserve">Philadelphia (Manayunk), PA</t>
  </si>
  <si>
    <t xml:space="preserve">Regal UA Grant Plaza</t>
  </si>
  <si>
    <t xml:space="preserve">1619 Grant Ave</t>
  </si>
  <si>
    <t xml:space="preserve">Philadelphia (Northeast), PA</t>
  </si>
  <si>
    <t xml:space="preserve">AMC Woodhaven 10</t>
  </si>
  <si>
    <t xml:space="preserve">1336 Bristol Pike</t>
  </si>
  <si>
    <t xml:space="preserve">Bensalem, PA</t>
  </si>
  <si>
    <t xml:space="preserve">Marcus (Movie Tavern)</t>
  </si>
  <si>
    <t xml:space="preserve">Movie Tavern Flourtown</t>
  </si>
  <si>
    <t xml:space="preserve">1844 Bethlehem Pike</t>
  </si>
  <si>
    <t xml:space="preserve">Flourtown, PA</t>
  </si>
  <si>
    <t xml:space="preserve">AMC Plymouth Meeting Mall 12</t>
  </si>
  <si>
    <t xml:space="preserve">494 W Germantown Pike</t>
  </si>
  <si>
    <t xml:space="preserve">Plymouth Meeting, PA</t>
  </si>
  <si>
    <t xml:space="preserve">Regal</t>
  </si>
  <si>
    <t xml:space="preserve">Regal Plymouth Meeting IMAX</t>
  </si>
  <si>
    <t xml:space="preserve">1011 Ridge Pike</t>
  </si>
  <si>
    <t xml:space="preserve">Conshohocken, PA</t>
  </si>
  <si>
    <t xml:space="preserve">Regal UA King of Prussia</t>
  </si>
  <si>
    <t xml:space="preserve">300 Goddard Blvd</t>
  </si>
  <si>
    <t xml:space="preserve">King of Prussia, PA</t>
  </si>
  <si>
    <t xml:space="preserve">Movie Tavern Collegeville</t>
  </si>
  <si>
    <t xml:space="preserve">140 Market St</t>
  </si>
  <si>
    <t xml:space="preserve">Collegeville, PA</t>
  </si>
  <si>
    <t xml:space="preserve">Regal Moorestown Mall</t>
  </si>
  <si>
    <t xml:space="preserve">400 NJ-38</t>
  </si>
  <si>
    <t xml:space="preserve">Moorestown, NJ</t>
  </si>
  <si>
    <t xml:space="preserve">AMC Voorhees 16</t>
  </si>
  <si>
    <t xml:space="preserve">900 Haddonfield-Berlin Rd</t>
  </si>
  <si>
    <t xml:space="preserve">Voorhees Twp, NJ</t>
  </si>
  <si>
    <t xml:space="preserve">Cinemark Somerdale 16 and XD</t>
  </si>
  <si>
    <t xml:space="preserve">711 Evesham Rd (Cooper Town Center)</t>
  </si>
  <si>
    <t xml:space="preserve">Somerdale, NJ</t>
  </si>
  <si>
    <t xml:space="preserve">AMC Deptford 8</t>
  </si>
  <si>
    <t xml:space="preserve">1740 Clements Bridge Rd</t>
  </si>
  <si>
    <t xml:space="preserve">Deptford, NJ</t>
  </si>
  <si>
    <t xml:space="preserve">Regal Edgmont Square</t>
  </si>
  <si>
    <t xml:space="preserve">Delaware County, PA</t>
  </si>
  <si>
    <t xml:space="preserve">https://www.yelp.com/search?cflt=movietheaters&amp;find_loc=Delaware+County,+PA</t>
  </si>
  <si>
    <t xml:space="preserve">AMC Marple 10</t>
  </si>
  <si>
    <t xml:space="preserve">Regal Brandywine Town Center</t>
  </si>
  <si>
    <t xml:space="preserve">3300 Brandywine Pkwy</t>
  </si>
  <si>
    <t xml:space="preserve">Wilmington, DE</t>
  </si>
  <si>
    <t xml:space="preserve">AMC DINE-IN Painters Crossing 9</t>
  </si>
  <si>
    <t xml:space="preserve">Chadds Ford area, PA</t>
  </si>
  <si>
    <t xml:space="preserve">Movie Tavern Exton</t>
  </si>
  <si>
    <t xml:space="preserve">Exton, PA</t>
  </si>
  <si>
    <t xml:space="preserve">Cinemark Christiana and XD</t>
  </si>
  <si>
    <t xml:space="preserve">1200 Christiana Mall</t>
  </si>
  <si>
    <t xml:space="preserve">Christiana, DE</t>
  </si>
  <si>
    <t xml:space="preserve">Cinemark Movies 10</t>
  </si>
  <si>
    <t xml:space="preserve">1796 W Newport Pike</t>
  </si>
  <si>
    <t xml:space="preserve">Filter rule for the tools: exclude regular showtimes where operator brand ∈ {AMC, Regal (incl. UA), Cinemark, Marcus/Movie Tavern}. This list is a starting denylist, not exhaustive — match on brand name at ingestion.</t>
  </si>
  <si>
    <t xml:space="preserve">Item</t>
  </si>
  <si>
    <t xml:space="preserve">Situation</t>
  </si>
  <si>
    <t xml:space="preserve">Why It Matters</t>
  </si>
  <si>
    <t xml:space="preserve">Anthony Wayne Theater</t>
  </si>
  <si>
    <t xml:space="preserve">109 W Lancaster Ave, Wayne, PA</t>
  </si>
  <si>
    <t xml:space="preserve">Closed since March 2020; a new 501(c)(3) is working to renew it.</t>
  </si>
  <si>
    <t xml:space="preserve">Potential new Main Line independent venue; strong feature-story candidate.</t>
  </si>
  <si>
    <t xml:space="preserve">https://www.anthonywaynetheater.org/</t>
  </si>
  <si>
    <t xml:space="preserve">Westmont Theatre</t>
  </si>
  <si>
    <t xml:space="preserve">Haddon Ave, Haddon Township, NJ</t>
  </si>
  <si>
    <t xml:space="preserve">1927 movie palace; closed. Restoration study estimated ~$3.1M (Cinema Treasures comments).</t>
  </si>
  <si>
    <t xml:space="preserve">Would fill the South Jersey gap; Spielberg childhood connection.</t>
  </si>
  <si>
    <t xml:space="preserve">https://cinematreasures.org/theaters/2685</t>
  </si>
  <si>
    <t xml:space="preserve">Riverview Plaza theater</t>
  </si>
  <si>
    <t xml:space="preserve">Operator scrapped plans (late May 2026) to revamp with an IMAX screen.</t>
  </si>
  <si>
    <t xml:space="preserve">Status of South Philly moviegoing.</t>
  </si>
  <si>
    <t xml:space="preserve">cinéSPEAK physical venue</t>
  </si>
  <si>
    <t xml:space="preserve">Founder describes a five-year effort to open a physical space.</t>
  </si>
  <si>
    <t xml:space="preserve">Would add a new permanent indie screen.</t>
  </si>
  <si>
    <t xml:space="preserve">No 2026 edition confirmed; social page teases a new international LGBTQ+ festival.</t>
  </si>
  <si>
    <t xml:space="preserve">Largest mid-Atlantic LGBTQ+ film fest if it returns.</t>
  </si>
  <si>
    <t xml:space="preserve">Broadway Theatre of Pitman</t>
  </si>
  <si>
    <t xml:space="preserve">Pitman, NJ</t>
  </si>
  <si>
    <t xml:space="preserve">Centennial 1926 house; now focused on live theater — Cinema Treasures commenters say it no longer screens films regularly.</t>
  </si>
  <si>
    <t xml:space="preserve">Occasional film events possible; not a regular screen.</t>
  </si>
  <si>
    <t xml:space="preserve">https://njmonthly.com/articles/arts-entertainment/how-pitmans-broadway-theatre-became-a-beloved-100-year-old-south-jersey-landmark/</t>
  </si>
  <si>
    <t xml:space="preserve">Landmark Ritz Five stability</t>
  </si>
  <si>
    <t xml:space="preserve">Closed several weeks in Aug 2026 for inspection/fire-code issues; reopened by Sept 10.</t>
  </si>
  <si>
    <t xml:space="preserve">Reliability of listings; news angle.</t>
  </si>
  <si>
    <t xml:space="preserve">PAAFF finances</t>
  </si>
  <si>
    <t xml:space="preserve">Staff furloughs reported May 2026; lost a major corporate sponsor.</t>
  </si>
  <si>
    <t xml:space="preserve">Festival continuity; coverage angle.</t>
  </si>
  <si>
    <t xml:space="preserve">Relevance to PFJ</t>
  </si>
  <si>
    <t xml:space="preserve">URL</t>
  </si>
  <si>
    <t xml:space="preserve">Philm Club</t>
  </si>
  <si>
    <t xml:space="preserve">Philly repertory/indie listings newsletter</t>
  </si>
  <si>
    <t xml:space="preserve">Closest existing analog to your calendar — competitor or partner.</t>
  </si>
  <si>
    <t xml:space="preserve">https://philmclub.com/</t>
  </si>
  <si>
    <t xml:space="preserve">Active through at least issue #051 (mid-2025); full issues are subscriber-only.</t>
  </si>
  <si>
    <t xml:space="preserve">Poor Stuart's Guide</t>
  </si>
  <si>
    <t xml:space="preserve">National arthouse showtimes aggregator with a Philly page</t>
  </si>
  <si>
    <t xml:space="preserve">Model for showtime aggregation; source of sourced lat/long for several venues.</t>
  </si>
  <si>
    <t xml:space="preserve">Its Philly arthouse page mixes in Regal locations — your exclusion rule is a differentiator.</t>
  </si>
  <si>
    <t xml:space="preserve">Moviejawn</t>
  </si>
  <si>
    <t xml:space="preserve">Philly-based film publication</t>
  </si>
  <si>
    <t xml:space="preserve">Editorial peer; potential guest-post exchange.</t>
  </si>
  <si>
    <t xml:space="preserve">https://www.moviejawn.com/</t>
  </si>
  <si>
    <t xml:space="preserve">Covered PUFF 2026.</t>
  </si>
  <si>
    <t xml:space="preserve">cinéSPEAK Journal</t>
  </si>
  <si>
    <t xml:space="preserve">Philly film journal</t>
  </si>
  <si>
    <t xml:space="preserve">Editorial peer; runs fellowships and a festival list.</t>
  </si>
  <si>
    <t xml:space="preserve">https://cinespeak.org/journal/</t>
  </si>
  <si>
    <t xml:space="preserve">Broad Street Review</t>
  </si>
  <si>
    <t xml:space="preserve">Arts criticism outlet</t>
  </si>
  <si>
    <t xml:space="preserve">Regular Philly film features (film clubs, theaters).</t>
  </si>
  <si>
    <t xml:space="preserve">https://www.broadstreetreview.com/</t>
  </si>
  <si>
    <t xml:space="preserve">Billy Penn (WHYY)</t>
  </si>
  <si>
    <t xml:space="preserve">Local news</t>
  </si>
  <si>
    <t xml:space="preserve">Covers theater openings/closures; recent theater roundup (9/10/26).</t>
  </si>
  <si>
    <t xml:space="preserve">34th Street Magazine</t>
  </si>
  <si>
    <t xml:space="preserve">Penn student arts magazine</t>
  </si>
  <si>
    <t xml:space="preserve">Covers grassroots film orgs.</t>
  </si>
  <si>
    <t xml:space="preserve">https://www.34st.com/</t>
  </si>
  <si>
    <t xml:space="preserve">Visit Philadelphia</t>
  </si>
  <si>
    <t xml:space="preserve">Tourism</t>
  </si>
  <si>
    <t xml:space="preserve">Publishes festival and events guides.</t>
  </si>
  <si>
    <t xml:space="preserve">https://www.visitphilly.com/articles/philadelphia/top-events-and-festivals-in-philadelphia/</t>
  </si>
  <si>
    <t xml:space="preserve">Fandango / IMDb showtimes</t>
  </si>
  <si>
    <t xml:space="preserve">Showtime data</t>
  </si>
  <si>
    <t xml:space="preserve">Fallback showtime data for some indie venues (Theatre N, PFS East appear on both).</t>
  </si>
  <si>
    <t xml:space="preserve">https://www.fandango.com/</t>
  </si>
  <si>
    <t xml:space="preserve">Check terms of use before scraping.</t>
  </si>
  <si>
    <t xml:space="preserve">cinéSPEAK Monthly Cinema Arts Round-Up</t>
  </si>
  <si>
    <t xml:space="preserve">Monthly listings column (cinéSPEAK Journal)</t>
  </si>
  <si>
    <t xml:space="preserve">First stop for pop-ups, microcinemas, club nights and Fringe film events that appear on no venue calendar — and the closest direct analog to PFJ's weekly post.</t>
  </si>
  <si>
    <t xml:space="preserve">Posts near the end of the prior month. Read it for leads, verify against the presenter's own page, and credit it where a listing came from there alone.</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</si>
</sst>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0"/>
      <charset val="1"/>
    </font>
    <font>
      <sz val="10"/>
      <name val="Arial"/>
      <family val="0"/>
    </font>
    <font>
      <sz val="10"/>
      <name val="Arial"/>
      <family val="0"/>
    </font>
    <font>
      <sz val="10"/>
      <name val="Arial"/>
      <family val="0"/>
    </font>
    <font>
      <b val="true"/>
      <sz val="14"/>
      <color theme="1"/>
      <name val="Arial"/>
      <family val="0"/>
      <charset val="1"/>
    </font>
    <font>
      <i val="true"/>
      <sz val="10"/>
      <color theme="1"/>
      <name val="Arial"/>
      <family val="0"/>
      <charset val="1"/>
    </font>
    <font>
      <b val="true"/>
      <sz val="11"/>
      <color theme="1"/>
      <name val="Arial"/>
      <family val="0"/>
      <charset val="1"/>
    </font>
    <font>
      <sz val="10"/>
      <color theme="1"/>
      <name val="Arial"/>
      <family val="0"/>
      <charset val="1"/>
    </font>
    <font>
      <sz val="10"/>
      <color rgb="FF000000"/>
      <name val="Arial"/>
      <family val="0"/>
      <charset val="1"/>
    </font>
    <font>
      <b val="true"/>
      <sz val="10"/>
      <color rgb="FFFFFFFF"/>
      <name val="Arial"/>
      <family val="0"/>
      <charset val="1"/>
    </font>
    <font>
      <u val="single"/>
      <sz val="10"/>
      <color rgb="FF1155CC"/>
      <name val="Arial"/>
      <family val="0"/>
      <charset val="1"/>
    </font>
  </fonts>
  <fills count="6">
    <fill>
      <patternFill patternType="none"/>
    </fill>
    <fill>
      <patternFill patternType="gray125"/>
    </fill>
    <fill>
      <patternFill patternType="solid">
        <fgColor rgb="FFFFF2CC"/>
        <bgColor rgb="FFE8EEF7"/>
      </patternFill>
    </fill>
    <fill>
      <patternFill patternType="solid">
        <fgColor rgb="FFE8EEF7"/>
        <bgColor rgb="FFFFFFFF"/>
      </patternFill>
    </fill>
    <fill>
      <patternFill patternType="solid">
        <fgColor rgb="FF1F2A44"/>
        <bgColor rgb="FF003366"/>
      </patternFill>
    </fill>
    <fill>
      <patternFill patternType="solid">
        <fgColor rgb="FFFFFF00"/>
        <bgColor rgb="FFFFFF00"/>
      </patternFill>
    </fill>
  </fills>
  <borders count="2">
    <border diagonalUp="false" diagonalDown="false">
      <left/>
      <right/>
      <top/>
      <bottom/>
      <diagonal/>
    </border>
    <border diagonalUp="false" diagonalDown="false">
      <left/>
      <right/>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2A44"/>
          <bgColor rgb="FF000000"/>
        </patternFill>
      </fill>
    </dxf>
    <dxf>
      <fill>
        <patternFill patternType="solid">
          <fgColor rgb="FFE8EEF7"/>
          <bgColor rgb="FF000000"/>
        </patternFill>
      </fill>
    </dxf>
    <dxf>
      <fill>
        <patternFill patternType="solid">
          <fgColor rgb="FFFFF2C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1155CC"/>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EEF7"/>
      <rgbColor rgb="FF660066"/>
      <rgbColor rgb="FFFF8080"/>
      <rgbColor rgb="FF1155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filmadelphia.org/about/venues/film-society-center/" TargetMode="External"/><Relationship Id="rId2" Type="http://schemas.openxmlformats.org/officeDocument/2006/relationships/hyperlink" Target="https://filmadelphia.org/showtimes-calendar-view/" TargetMode="External"/><Relationship Id="rId3" Type="http://schemas.openxmlformats.org/officeDocument/2006/relationships/hyperlink" Target="https://filmadelphia.org/about/venues/film-society-center/" TargetMode="External"/><Relationship Id="rId4" Type="http://schemas.openxmlformats.org/officeDocument/2006/relationships/hyperlink" Target="https://filmadelphia.org/about/venues/film-society-bourse/" TargetMode="External"/><Relationship Id="rId5" Type="http://schemas.openxmlformats.org/officeDocument/2006/relationships/hyperlink" Target="https://filmadelphia.org/showtimes-calendar-view/" TargetMode="External"/><Relationship Id="rId6" Type="http://schemas.openxmlformats.org/officeDocument/2006/relationships/hyperlink" Target="https://filmadelphia.org/" TargetMode="External"/><Relationship Id="rId7" Type="http://schemas.openxmlformats.org/officeDocument/2006/relationships/hyperlink" Target="https://filmadelphia.org/about/venues/film-society-east/" TargetMode="External"/><Relationship Id="rId8" Type="http://schemas.openxmlformats.org/officeDocument/2006/relationships/hyperlink" Target="https://filmadelphia.org/showtimes-calendar-view/" TargetMode="External"/><Relationship Id="rId9" Type="http://schemas.openxmlformats.org/officeDocument/2006/relationships/hyperlink" Target="https://cinematreasures.org/theaters/14780" TargetMode="External"/><Relationship Id="rId10" Type="http://schemas.openxmlformats.org/officeDocument/2006/relationships/hyperlink" Target="https://www.landmarktheatres.com/philadelphia/ritz-five" TargetMode="External"/><Relationship Id="rId11" Type="http://schemas.openxmlformats.org/officeDocument/2006/relationships/hyperlink" Target="https://www.landmarktheatres.com/philadelphia/ritz-five" TargetMode="External"/><Relationship Id="rId12" Type="http://schemas.openxmlformats.org/officeDocument/2006/relationships/hyperlink" Target="https://billypenn.com/2026/09/10/movie-theaters-philly/" TargetMode="External"/><Relationship Id="rId13" Type="http://schemas.openxmlformats.org/officeDocument/2006/relationships/hyperlink" Target="https://www.lightboxfilmcenter.org/" TargetMode="External"/><Relationship Id="rId14" Type="http://schemas.openxmlformats.org/officeDocument/2006/relationships/hyperlink" Target="https://www.lightboxfilmcenter.org/" TargetMode="External"/><Relationship Id="rId15" Type="http://schemas.openxmlformats.org/officeDocument/2006/relationships/hyperlink" Target="https://www.lightboxfilmcenter.org/" TargetMode="External"/><Relationship Id="rId16" Type="http://schemas.openxmlformats.org/officeDocument/2006/relationships/hyperlink" Target="https://www.philamoca.org/" TargetMode="External"/><Relationship Id="rId17" Type="http://schemas.openxmlformats.org/officeDocument/2006/relationships/hyperlink" Target="https://www.philamoca.org/%20(tickets%20frequently%20via%20DICE)" TargetMode="External"/><Relationship Id="rId18" Type="http://schemas.openxmlformats.org/officeDocument/2006/relationships/hyperlink" Target="https://www.philamoca.org/" TargetMode="External"/><Relationship Id="rId19" Type="http://schemas.openxmlformats.org/officeDocument/2006/relationships/hyperlink" Target="https://scribe.org/" TargetMode="External"/><Relationship Id="rId20" Type="http://schemas.openxmlformats.org/officeDocument/2006/relationships/hyperlink" Target="https://www.scribe.org/Screenings" TargetMode="External"/><Relationship Id="rId21" Type="http://schemas.openxmlformats.org/officeDocument/2006/relationships/hyperlink" Target="https://www.scribe.org/Screenings" TargetMode="External"/><Relationship Id="rId22" Type="http://schemas.openxmlformats.org/officeDocument/2006/relationships/hyperlink" Target="https://woodmeremuseum.org/happenings/film" TargetMode="External"/><Relationship Id="rId23" Type="http://schemas.openxmlformats.org/officeDocument/2006/relationships/hyperlink" Target="https://woodmeremuseum.org/happenings/film" TargetMode="External"/><Relationship Id="rId24" Type="http://schemas.openxmlformats.org/officeDocument/2006/relationships/hyperlink" Target="https://woodmeremuseum.org/happenings/film" TargetMode="External"/><Relationship Id="rId25" Type="http://schemas.openxmlformats.org/officeDocument/2006/relationships/hyperlink" Target="https://www.phlaff.org/los-news/peoples-cinema-club-los-news" TargetMode="External"/><Relationship Id="rId26" Type="http://schemas.openxmlformats.org/officeDocument/2006/relationships/hyperlink" Target="https://www.phlaff.org/los-news/peoples-cinema-club-los-news" TargetMode="External"/><Relationship Id="rId27" Type="http://schemas.openxmlformats.org/officeDocument/2006/relationships/hyperlink" Target="https://brynmawrfilm.org/" TargetMode="External"/><Relationship Id="rId28" Type="http://schemas.openxmlformats.org/officeDocument/2006/relationships/hyperlink" Target="https://brynmawrfilm.org/" TargetMode="External"/><Relationship Id="rId29" Type="http://schemas.openxmlformats.org/officeDocument/2006/relationships/hyperlink" Target="https://www.poorstuart.com/philadelphia-movie-showtimes-citywide-by-arthouse/" TargetMode="External"/><Relationship Id="rId30" Type="http://schemas.openxmlformats.org/officeDocument/2006/relationships/hyperlink" Target="https://www.amblertheater.org/" TargetMode="External"/><Relationship Id="rId31" Type="http://schemas.openxmlformats.org/officeDocument/2006/relationships/hyperlink" Target="https://www.amblertheater.org/" TargetMode="External"/><Relationship Id="rId32" Type="http://schemas.openxmlformats.org/officeDocument/2006/relationships/hyperlink" Target="https://www.renewtheaters.org/" TargetMode="External"/><Relationship Id="rId33" Type="http://schemas.openxmlformats.org/officeDocument/2006/relationships/hyperlink" Target="https://countytheater.org/" TargetMode="External"/><Relationship Id="rId34" Type="http://schemas.openxmlformats.org/officeDocument/2006/relationships/hyperlink" Target="https://countytheater.org/" TargetMode="External"/><Relationship Id="rId35" Type="http://schemas.openxmlformats.org/officeDocument/2006/relationships/hyperlink" Target="https://www.renewtheaters.org/" TargetMode="External"/><Relationship Id="rId36" Type="http://schemas.openxmlformats.org/officeDocument/2006/relationships/hyperlink" Target="https://www.hiwaytheater.org/" TargetMode="External"/><Relationship Id="rId37" Type="http://schemas.openxmlformats.org/officeDocument/2006/relationships/hyperlink" Target="https://www.hiwaytheater.org/" TargetMode="External"/><Relationship Id="rId38" Type="http://schemas.openxmlformats.org/officeDocument/2006/relationships/hyperlink" Target="https://www.renewtheaters.org/" TargetMode="External"/><Relationship Id="rId39" Type="http://schemas.openxmlformats.org/officeDocument/2006/relationships/hyperlink" Target="https://www.princetongardentheatre.org/" TargetMode="External"/><Relationship Id="rId40" Type="http://schemas.openxmlformats.org/officeDocument/2006/relationships/hyperlink" Target="https://www.princetongardentheatre.org/" TargetMode="External"/><Relationship Id="rId41" Type="http://schemas.openxmlformats.org/officeDocument/2006/relationships/hyperlink" Target="https://en.wikipedia.org/wiki/Princeton_Garden_Theatre" TargetMode="External"/><Relationship Id="rId42" Type="http://schemas.openxmlformats.org/officeDocument/2006/relationships/hyperlink" Target="https://thecolonialtheatre.com/" TargetMode="External"/><Relationship Id="rId43" Type="http://schemas.openxmlformats.org/officeDocument/2006/relationships/hyperlink" Target="https://thecolonialtheatre.com/" TargetMode="External"/><Relationship Id="rId44" Type="http://schemas.openxmlformats.org/officeDocument/2006/relationships/hyperlink" Target="https://www.poorstuart.com/philadelphia-movie-showtimes-citywide-by-arthouse/" TargetMode="External"/><Relationship Id="rId45" Type="http://schemas.openxmlformats.org/officeDocument/2006/relationships/hyperlink" Target="https://www.thenewtowntheatre.com/" TargetMode="External"/><Relationship Id="rId46" Type="http://schemas.openxmlformats.org/officeDocument/2006/relationships/hyperlink" Target="https://www.thenewtowntheatre.com/" TargetMode="External"/><Relationship Id="rId47" Type="http://schemas.openxmlformats.org/officeDocument/2006/relationships/hyperlink" Target="https://en.wikipedia.org/wiki/Newtown_Theatre" TargetMode="External"/><Relationship Id="rId48" Type="http://schemas.openxmlformats.org/officeDocument/2006/relationships/hyperlink" Target="https://www.reelcinemaspa.com/" TargetMode="External"/><Relationship Id="rId49" Type="http://schemas.openxmlformats.org/officeDocument/2006/relationships/hyperlink" Target="https://www.reelcinemaspa.com/" TargetMode="External"/><Relationship Id="rId50" Type="http://schemas.openxmlformats.org/officeDocument/2006/relationships/hyperlink" Target="https://billypenn.com/2026/09/10/movie-theaters-philly/" TargetMode="External"/><Relationship Id="rId51" Type="http://schemas.openxmlformats.org/officeDocument/2006/relationships/hyperlink" Target="https://billypenn.com/2026/09/10/movie-theaters-philly/" TargetMode="External"/><Relationship Id="rId52" Type="http://schemas.openxmlformats.org/officeDocument/2006/relationships/hyperlink" Target="https://www1.villanova.edu/university/student-life/student-involvement/cultural-film-series.html" TargetMode="External"/><Relationship Id="rId53" Type="http://schemas.openxmlformats.org/officeDocument/2006/relationships/hyperlink" Target="https://www1.villanova.edu/university/student-life/student-involvement/cultural-film-series.html" TargetMode="External"/><Relationship Id="rId54" Type="http://schemas.openxmlformats.org/officeDocument/2006/relationships/hyperlink" Target="https://theatren.com/" TargetMode="External"/><Relationship Id="rId55" Type="http://schemas.openxmlformats.org/officeDocument/2006/relationships/hyperlink" Target="https://theatren.com/" TargetMode="External"/><Relationship Id="rId56" Type="http://schemas.openxmlformats.org/officeDocument/2006/relationships/hyperlink" Target="https://delawarescene.com/organization/59/theatre-n" TargetMode="External"/><Relationship Id="rId57" Type="http://schemas.openxmlformats.org/officeDocument/2006/relationships/hyperlink" Target="https://www.imdb.com/showtimes/cinema/US/ci1041599/US/19707/" TargetMode="External"/><Relationship Id="rId58" Type="http://schemas.openxmlformats.org/officeDocument/2006/relationships/hyperlink" Target="https://wilmington.film/more-than-a-movie-festival/" TargetMode="External"/><Relationship Id="rId59" Type="http://schemas.openxmlformats.org/officeDocument/2006/relationships/hyperlink" Target="https://delseadrive-in.com/" TargetMode="External"/><Relationship Id="rId60" Type="http://schemas.openxmlformats.org/officeDocument/2006/relationships/hyperlink" Target="https://delseadrive-in.com/" TargetMode="External"/><Relationship Id="rId61" Type="http://schemas.openxmlformats.org/officeDocument/2006/relationships/hyperlink" Target="https://www.inquirer.com/philly-tips/drive-in-movie-theaters-philadelphia-20210525.html" TargetMode="External"/><Relationship Id="rId62" Type="http://schemas.openxmlformats.org/officeDocument/2006/relationships/hyperlink" Target="https://www.shankweilers.com/" TargetMode="External"/><Relationship Id="rId63" Type="http://schemas.openxmlformats.org/officeDocument/2006/relationships/hyperlink" Target="https://www.shankweilers.com/" TargetMode="External"/><Relationship Id="rId64" Type="http://schemas.openxmlformats.org/officeDocument/2006/relationships/hyperlink" Target="https://www.shankweilers.com/" TargetMode="External"/><Relationship Id="rId65" Type="http://schemas.openxmlformats.org/officeDocument/2006/relationships/hyperlink" Target="https://mahoningdit.com/" TargetMode="External"/><Relationship Id="rId66" Type="http://schemas.openxmlformats.org/officeDocument/2006/relationships/hyperlink" Target="https://mahoningdit.com/" TargetMode="External"/><Relationship Id="rId67" Type="http://schemas.openxmlformats.org/officeDocument/2006/relationships/hyperlink" Target="https://www.phillymag.com/best-of-philly-archive/mahoning-drive-in-movie-theater/" TargetMode="External"/><Relationship Id="rId68"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visitphilly.com/things-to-do/events/blackstar-film-festival/" TargetMode="External"/><Relationship Id="rId2" Type="http://schemas.openxmlformats.org/officeDocument/2006/relationships/hyperlink" Target="https://blackstarprojects.org/press/blackstar-film-festival-2026-lineup" TargetMode="External"/><Relationship Id="rId3" Type="http://schemas.openxmlformats.org/officeDocument/2006/relationships/hyperlink" Target="https://blackstarprojects.org/press/blackstar-film-festival-2026-lineup" TargetMode="External"/><Relationship Id="rId4" Type="http://schemas.openxmlformats.org/officeDocument/2006/relationships/hyperlink" Target="https://www.theatreexile.org/renters-in-exile/philadelphia-unnamed-film-festival" TargetMode="External"/><Relationship Id="rId5" Type="http://schemas.openxmlformats.org/officeDocument/2006/relationships/hyperlink" Target="https://www.visitphilly.com/articles/philadelphia/asian-american-pacific-islander-heritage-month-aapi/" TargetMode="External"/><Relationship Id="rId6" Type="http://schemas.openxmlformats.org/officeDocument/2006/relationships/hyperlink" Target="https://www.visitphilly.com/articles/philadelphia/asian-american-pacific-islander-heritage-month-aapi/" TargetMode="External"/><Relationship Id="rId7" Type="http://schemas.openxmlformats.org/officeDocument/2006/relationships/hyperlink" Target="https://theweitzman.org/philadelphia-jewish-film-and-media/" TargetMode="External"/><Relationship Id="rId8" Type="http://schemas.openxmlformats.org/officeDocument/2006/relationships/hyperlink" Target="https://libwww.freelibrary.org/calendar/event/165828" TargetMode="External"/><Relationship Id="rId9" Type="http://schemas.openxmlformats.org/officeDocument/2006/relationships/hyperlink" Target="https://www.visitphilly.com/articles/philadelphia/asian-american-pacific-islander-heritage-month-aapi/" TargetMode="External"/><Relationship Id="rId10" Type="http://schemas.openxmlformats.org/officeDocument/2006/relationships/hyperlink" Target="https://www.broadstreetreview.com/features/meet-10-philly-film-clubs-welcoming-cinephiles-from-across-the-region" TargetMode="External"/><Relationship Id="rId11" Type="http://schemas.openxmlformats.org/officeDocument/2006/relationships/hyperlink" Target="https://www.broadstreetreview.com/features/meet-10-philly-film-clubs-welcoming-cinephiles-from-across-the-region" TargetMode="External"/><Relationship Id="rId12" Type="http://schemas.openxmlformats.org/officeDocument/2006/relationships/hyperlink" Target="https://www.broadstreetreview.com/features/meet-10-philly-film-clubs-welcoming-cinephiles-from-across-the-region" TargetMode="External"/><Relationship Id="rId13" Type="http://schemas.openxmlformats.org/officeDocument/2006/relationships/hyperlink" Target="https://www.broadstreetreview.com/features/meet-10-philly-film-clubs-welcoming-cinephiles-from-across-the-region" TargetMode="External"/><Relationship Id="rId14" Type="http://schemas.openxmlformats.org/officeDocument/2006/relationships/hyperlink" Target="https://www.broadstreetreview.com/features/meet-10-philly-film-clubs-welcoming-cinephiles-from-across-the-region" TargetMode="External"/><Relationship Id="rId15" Type="http://schemas.openxmlformats.org/officeDocument/2006/relationships/hyperlink" Target="https://www.broadstreetreview.com/features/meet-10-philly-film-clubs-welcoming-cinephiles-from-across-the-region" TargetMode="External"/><Relationship Id="rId16" Type="http://schemas.openxmlformats.org/officeDocument/2006/relationships/hyperlink" Target="https://www.broadstreetreview.com/features/meet-10-philly-film-clubs-welcoming-cinephiles-from-across-the-region" TargetMode="External"/><Relationship Id="rId17" Type="http://schemas.openxmlformats.org/officeDocument/2006/relationships/hyperlink" Target="https://www.34st.com/article/2026/02/philadelphia-independent-film-third-spaces-the-secret-cinema-lightbox-cinespeak-grassroots-organizations" TargetMode="External"/><Relationship Id="rId18" Type="http://schemas.openxmlformats.org/officeDocument/2006/relationships/hyperlink" Target="https://www.34st.com/article/2026/02/philadelphia-independent-film-third-spaces-the-secret-cinema-lightbox-cinespeak-grassroots-organizations" TargetMode="External"/><Relationship Id="rId19" Type="http://schemas.openxmlformats.org/officeDocument/2006/relationships/hyperlink" Target="https://cinespeak.org/2024/04/02/list-of-film-festivals-in-philadelphia/" TargetMode="External"/><Relationship Id="rId20" Type="http://schemas.openxmlformats.org/officeDocument/2006/relationships/hyperlink" Target="https://philmclub.com/philmclub033" TargetMode="External"/><Relationship Id="rId21" Type="http://schemas.openxmlformats.org/officeDocument/2006/relationships/hyperlink" Target="https://philmclub.com/philmclub033" TargetMode="External"/><Relationship Id="rId22" Type="http://schemas.openxmlformats.org/officeDocument/2006/relationships/hyperlink" Target="https://philmclub.com/philmclub012" TargetMode="External"/><Relationship Id="rId23" Type="http://schemas.openxmlformats.org/officeDocument/2006/relationships/hyperlink" Target="https://philmclub.com/philmclub033" TargetMode="External"/><Relationship Id="rId24" Type="http://schemas.openxmlformats.org/officeDocument/2006/relationships/hyperlink" Target="https://www.yelp.com/biz/secret-cinema-philadelphia" TargetMode="External"/><Relationship Id="rId25" Type="http://schemas.openxmlformats.org/officeDocument/2006/relationships/hyperlink" Target="https://wilmington.film/more-than-a-movie-festival/" TargetMode="External"/><Relationship Id="rId26"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filmadelphia.org/" TargetMode="External"/><Relationship Id="rId2" Type="http://schemas.openxmlformats.org/officeDocument/2006/relationships/hyperlink" Target="https://filmadelphia.org/" TargetMode="External"/><Relationship Id="rId3" Type="http://schemas.openxmlformats.org/officeDocument/2006/relationships/hyperlink" Target="https://www.renewtheaters.org/" TargetMode="External"/><Relationship Id="rId4" Type="http://schemas.openxmlformats.org/officeDocument/2006/relationships/hyperlink" Target="https://www.renewtheaters.org/" TargetMode="External"/><Relationship Id="rId5" Type="http://schemas.openxmlformats.org/officeDocument/2006/relationships/hyperlink" Target="https://blackstarprojects.org/" TargetMode="External"/><Relationship Id="rId6" Type="http://schemas.openxmlformats.org/officeDocument/2006/relationships/hyperlink" Target="https://blackstarprojects.org/festival" TargetMode="External"/><Relationship Id="rId7" Type="http://schemas.openxmlformats.org/officeDocument/2006/relationships/hyperlink" Target="https://cinespeak.org/" TargetMode="External"/><Relationship Id="rId8" Type="http://schemas.openxmlformats.org/officeDocument/2006/relationships/hyperlink" Target="https://www.34st.com/article/2026/02/philadelphia-independent-film-third-spaces-the-secret-cinema-lightbox-cinespeak-grassroots-organizations" TargetMode="External"/><Relationship Id="rId9" Type="http://schemas.openxmlformats.org/officeDocument/2006/relationships/hyperlink" Target="https://paaff.org/" TargetMode="External"/><Relationship Id="rId10" Type="http://schemas.openxmlformats.org/officeDocument/2006/relationships/hyperlink" Target="https://6abc.com/post/philadelphia-asian-american-film-foundation-call-support-celebration/19138114/" TargetMode="External"/><Relationship Id="rId11" Type="http://schemas.openxmlformats.org/officeDocument/2006/relationships/hyperlink" Target="https://www.phlaff.org/" TargetMode="External"/><Relationship Id="rId12" Type="http://schemas.openxmlformats.org/officeDocument/2006/relationships/hyperlink" Target="https://www.phlaff.org/los-news/peoples-cinema-club-los-news" TargetMode="External"/><Relationship Id="rId13" Type="http://schemas.openxmlformats.org/officeDocument/2006/relationships/hyperlink" Target="https://phillyjfm.org/" TargetMode="External"/><Relationship Id="rId14" Type="http://schemas.openxmlformats.org/officeDocument/2006/relationships/hyperlink" Target="https://theweitzman.org/press-releases/philadelphia-jewish-film-media-is-now-a-program-of-weitzman-national-museum-of-american-jewish-history/" TargetMode="External"/><Relationship Id="rId15" Type="http://schemas.openxmlformats.org/officeDocument/2006/relationships/hyperlink" Target="https://filmadelphia.org/news/april-june-2026-curated-programming-lineup/" TargetMode="External"/><Relationship Id="rId16" Type="http://schemas.openxmlformats.org/officeDocument/2006/relationships/hyperlink" Target="https://www.34st.com/article/2026/02/philadelphia-independent-film-third-spaces-the-secret-cinema-lightbox-cinespeak-grassroots-organizations" TargetMode="External"/><Relationship Id="rId17" Type="http://schemas.openxmlformats.org/officeDocument/2006/relationships/hyperlink" Target="http://psychotronicphilly.org/" TargetMode="External"/><Relationship Id="rId18" Type="http://schemas.openxmlformats.org/officeDocument/2006/relationships/hyperlink" Target="https://philmclub.com/philmclub017" TargetMode="External"/><Relationship Id="rId19" Type="http://schemas.openxmlformats.org/officeDocument/2006/relationships/hyperlink" Target="https://woodmeremuseum.org/happenings/film" TargetMode="External"/><Relationship Id="rId20" Type="http://schemas.openxmlformats.org/officeDocument/2006/relationships/hyperlink" Target="https://www.chestnuthilllocal.com/stories/a-new-state-of-the-art-projection-system-for-woodmere-movie-nights,35092" TargetMode="External"/><Relationship Id="rId21" Type="http://schemas.openxmlformats.org/officeDocument/2006/relationships/hyperlink" Target="https://girlslikehorror.com/" TargetMode="External"/><Relationship Id="rId22" Type="http://schemas.openxmlformats.org/officeDocument/2006/relationships/hyperlink" Target="https://billypenn.com/2026/09/10/movie-theaters-philly/" TargetMode="External"/><Relationship Id="rId23" Type="http://schemas.openxmlformats.org/officeDocument/2006/relationships/hyperlink" Target="https://www.instagram.com/bereelblackcinemaclub/" TargetMode="External"/><Relationship Id="rId24" Type="http://schemas.openxmlformats.org/officeDocument/2006/relationships/hyperlink" Target="https://www.broadstreetreview.com/features/meet-10-philly-film-clubs-welcoming-cinephiles-from-across-the-region" TargetMode="External"/><Relationship Id="rId25" Type="http://schemas.openxmlformats.org/officeDocument/2006/relationships/hyperlink" Target="https://bloodsick.org/" TargetMode="External"/><Relationship Id="rId26" Type="http://schemas.openxmlformats.org/officeDocument/2006/relationships/hyperlink" Target="https://www.broadstreetreview.com/features/meet-10-philly-film-clubs-welcoming-cinephiles-from-across-the-region" TargetMode="External"/><Relationship Id="rId27" Type="http://schemas.openxmlformats.org/officeDocument/2006/relationships/hyperlink" Target="https://www.instagram.com/space_melt_cinema/" TargetMode="External"/><Relationship Id="rId28" Type="http://schemas.openxmlformats.org/officeDocument/2006/relationships/hyperlink" Target="https://www.broadstreetreview.com/features/meet-10-philly-film-clubs-welcoming-cinephiles-from-across-the-region" TargetMode="External"/><Relationship Id="rId29" Type="http://schemas.openxmlformats.org/officeDocument/2006/relationships/hyperlink" Target="https://linktr.ee/launderette" TargetMode="External"/><Relationship Id="rId30" Type="http://schemas.openxmlformats.org/officeDocument/2006/relationships/hyperlink" Target="https://www.broadstreetreview.com/features/meet-10-philly-film-clubs-welcoming-cinephiles-from-across-the-region" TargetMode="External"/><Relationship Id="rId31" Type="http://schemas.openxmlformats.org/officeDocument/2006/relationships/hyperlink" Target="https://linktr.ee/secrethandshakevintage" TargetMode="External"/><Relationship Id="rId32" Type="http://schemas.openxmlformats.org/officeDocument/2006/relationships/hyperlink" Target="https://www.broadstreetreview.com/features/meet-10-philly-film-clubs-welcoming-cinephiles-from-across-the-region" TargetMode="External"/><Relationship Id="rId33" Type="http://schemas.openxmlformats.org/officeDocument/2006/relationships/hyperlink" Target="https://www.instagram.com/sightsandsoundsphl/" TargetMode="External"/><Relationship Id="rId34" Type="http://schemas.openxmlformats.org/officeDocument/2006/relationships/hyperlink" Target="https://www.broadstreetreview.com/features/meet-10-philly-film-clubs-welcoming-cinephiles-from-across-the-region" TargetMode="External"/><Relationship Id="rId35" Type="http://schemas.openxmlformats.org/officeDocument/2006/relationships/hyperlink" Target="https://www.instagram.com/v.h.s_club/" TargetMode="External"/><Relationship Id="rId36" Type="http://schemas.openxmlformats.org/officeDocument/2006/relationships/hyperlink" Target="https://filmadelphia.org/showtimes/" TargetMode="External"/><Relationship Id="rId37" Type="http://schemas.openxmlformats.org/officeDocument/2006/relationships/hyperlink" Target="https://www.instagram.com/reelclueless/" TargetMode="External"/><Relationship Id="rId38" Type="http://schemas.openxmlformats.org/officeDocument/2006/relationships/hyperlink" Target="https://www.broadstreetreview.com/features/meet-10-philly-film-clubs-welcoming-cinephiles-from-across-the-region" TargetMode="External"/><Relationship Id="rId39" Type="http://schemas.openxmlformats.org/officeDocument/2006/relationships/hyperlink" Target="https://www.instagram.com/screwball_screenings/" TargetMode="External"/><Relationship Id="rId40" Type="http://schemas.openxmlformats.org/officeDocument/2006/relationships/hyperlink" Target="https://www.broadstreetreview.com/features/meet-10-philly-film-clubs-welcoming-cinephiles-from-across-the-region" TargetMode="External"/><Relationship Id="rId41" Type="http://schemas.openxmlformats.org/officeDocument/2006/relationships/hyperlink" Target="https://www.broadstreetreview.com/features/rough-cuts-builds-new-community-as-phillys-only-open-mic-for-filmmakers" TargetMode="External"/><Relationship Id="rId42" Type="http://schemas.openxmlformats.org/officeDocument/2006/relationships/hyperlink" Target="https://www.phillyunnamed.org/" TargetMode="External"/><Relationship Id="rId43" Type="http://schemas.openxmlformats.org/officeDocument/2006/relationships/hyperlink" Target="https://www.theatreexile.org/renters-in-exile/philadelphia-unnamed-film-festival" TargetMode="External"/><Relationship Id="rId44" Type="http://schemas.openxmlformats.org/officeDocument/2006/relationships/hyperlink" Target="https://www.bigpicturealliance.org/" TargetMode="External"/><Relationship Id="rId45" Type="http://schemas.openxmlformats.org/officeDocument/2006/relationships/hyperlink" Target="https://cinespeak.org/2024/04/02/list-of-film-festivals-in-philadelphia/" TargetMode="External"/><Relationship Id="rId46" Type="http://schemas.openxmlformats.org/officeDocument/2006/relationships/hyperlink" Target="https://philmclub.com/philmclub017" TargetMode="External"/><Relationship Id="rId47" Type="http://schemas.openxmlformats.org/officeDocument/2006/relationships/hyperlink" Target="https://www.inquirer.com/arts/uarts-lightbox-film-center-reopening-20241003.html" TargetMode="External"/><Relationship Id="rId48" Type="http://schemas.openxmlformats.org/officeDocument/2006/relationships/hyperlink" Target="https://myphillypark.org/2026-movies-in-philly-parks/" TargetMode="External"/><Relationship Id="rId49" Type="http://schemas.openxmlformats.org/officeDocument/2006/relationships/hyperlink" Target="https://www.phila.gov/2026-07-10-enjoy-free-outdoor-movies-at-philadelphia-parks/" TargetMode="External"/><Relationship Id="rId50" Type="http://schemas.openxmlformats.org/officeDocument/2006/relationships/hyperlink" Target="https://cinespeak.org/2024/04/02/list-of-film-festivals-in-philadelphia/" TargetMode="External"/><Relationship Id="rId51" Type="http://schemas.openxmlformats.org/officeDocument/2006/relationships/hyperlink" Target="https://cinemastudies.sas.upenn.edu/" TargetMode="External"/><Relationship Id="rId52" Type="http://schemas.openxmlformats.org/officeDocument/2006/relationships/hyperlink" Target="https://philmclub.com/philmclub017" TargetMode="External"/><Relationship Id="rId53" Type="http://schemas.openxmlformats.org/officeDocument/2006/relationships/hyperlink" Target="https://film.org/" TargetMode="External"/><Relationship Id="rId54" Type="http://schemas.openxmlformats.org/officeDocument/2006/relationships/hyperlink" Target="https://film.org/" TargetMode="External"/><Relationship Id="rId55" Type="http://schemas.openxmlformats.org/officeDocument/2006/relationships/hyperlink" Target="https://sjfilmoffice.com/" TargetMode="External"/><Relationship Id="rId56" Type="http://schemas.openxmlformats.org/officeDocument/2006/relationships/hyperlink" Target="https://sjfilmoffice.com/" TargetMode="External"/><Relationship Id="rId57"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filmadelphia.org/" TargetMode="External"/><Relationship Id="rId2" Type="http://schemas.openxmlformats.org/officeDocument/2006/relationships/hyperlink" Target="https://filmadelphia.org/springfest/" TargetMode="External"/><Relationship Id="rId3" Type="http://schemas.openxmlformats.org/officeDocument/2006/relationships/hyperlink" Target="https://blackstarprojects.org/press/blackstar-film-festival-2026-lineup" TargetMode="External"/><Relationship Id="rId4" Type="http://schemas.openxmlformats.org/officeDocument/2006/relationships/hyperlink" Target="https://asianfilmfestivals.com/2026/02/16/philadelphia-asian-american-film-festival-call-for-entry-2026/" TargetMode="External"/><Relationship Id="rId5" Type="http://schemas.openxmlformats.org/officeDocument/2006/relationships/hyperlink" Target="https://phillyjfm.org/" TargetMode="External"/><Relationship Id="rId6" Type="http://schemas.openxmlformats.org/officeDocument/2006/relationships/hyperlink" Target="https://www.theatreexile.org/renters-in-exile/philadelphia-unnamed-film-festival" TargetMode="External"/><Relationship Id="rId7" Type="http://schemas.openxmlformats.org/officeDocument/2006/relationships/hyperlink" Target="https://www.phlaff.org/los-news/peoples-cinema-club-los-news" TargetMode="External"/><Relationship Id="rId8" Type="http://schemas.openxmlformats.org/officeDocument/2006/relationships/hyperlink" Target="https://patch.com/pennsylvania/newtown-pa/bucks-county-filmfest-finds-new-home-newtown" TargetMode="External"/><Relationship Id="rId9" Type="http://schemas.openxmlformats.org/officeDocument/2006/relationships/hyperlink" Target="https://filmfreeway.com/NewHopeFilmFestival" TargetMode="External"/><Relationship Id="rId10" Type="http://schemas.openxmlformats.org/officeDocument/2006/relationships/hyperlink" Target="https://www.broadstreetreview.com/features/meet-10-philly-film-clubs-welcoming-cinephiles-from-across-the-region" TargetMode="External"/><Relationship Id="rId11" Type="http://schemas.openxmlformats.org/officeDocument/2006/relationships/hyperlink" Target="https://wilmington.film/more-than-a-movie-festival/" TargetMode="External"/><Relationship Id="rId12" Type="http://schemas.openxmlformats.org/officeDocument/2006/relationships/hyperlink" Target="https://filmadelphia.org/news/april-june-2026-curated-programming-lineup/" TargetMode="External"/><Relationship Id="rId13" Type="http://schemas.openxmlformats.org/officeDocument/2006/relationships/hyperlink" Target="https://www.facebook.com/qFLIXfestivals/" TargetMode="External"/><Relationship Id="rId14" Type="http://schemas.openxmlformats.org/officeDocument/2006/relationships/hyperlink" Target="https://cinespeak.org/2024/04/02/list-of-film-festivals-in-philadelphia/" TargetMode="External"/><Relationship Id="rId15" Type="http://schemas.openxmlformats.org/officeDocument/2006/relationships/hyperlink" Target="https://cinespeak.org/2024/04/02/list-of-film-festivals-in-philadelphia/" TargetMode="External"/><Relationship Id="rId16" Type="http://schemas.openxmlformats.org/officeDocument/2006/relationships/hyperlink" Target="https://cinespeak.org/2024/04/02/list-of-film-festivals-in-philadelphia/" TargetMode="External"/><Relationship Id="rId17" Type="http://schemas.openxmlformats.org/officeDocument/2006/relationships/hyperlink" Target="https://cinespeak.org/2024/04/02/list-of-film-festivals-in-philadelphia/" TargetMode="External"/><Relationship Id="rId18" Type="http://schemas.openxmlformats.org/officeDocument/2006/relationships/hyperlink" Target="https://cinespeak.org/2024/04/02/list-of-film-festivals-in-philadelphia/" TargetMode="External"/><Relationship Id="rId19" Type="http://schemas.openxmlformats.org/officeDocument/2006/relationships/hyperlink" Target="https://cinespeak.org/2024/04/02/list-of-film-festivals-in-philadelphia/" TargetMode="External"/><Relationship Id="rId20" Type="http://schemas.openxmlformats.org/officeDocument/2006/relationships/hyperlink" Target="https://cinespeak.org/2024/04/02/list-of-film-festivals-in-philadelphia/" TargetMode="External"/><Relationship Id="rId21" Type="http://schemas.openxmlformats.org/officeDocument/2006/relationships/hyperlink" Target="https://cinespeak.org/2024/04/02/list-of-film-festivals-in-philadelphia/" TargetMode="External"/><Relationship Id="rId22" Type="http://schemas.openxmlformats.org/officeDocument/2006/relationships/hyperlink" Target="https://filmadelphia.org/news/april-june-2026-curated-programming-lineup/" TargetMode="External"/><Relationship Id="rId23"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https://woodmeremuseum.org/happenings/film" TargetMode="External"/><Relationship Id="rId2" Type="http://schemas.openxmlformats.org/officeDocument/2006/relationships/hyperlink" Target="https://www1.villanova.edu/university/student-life/student-involvement/cultural-film-series.html" TargetMode="External"/><Relationship Id="rId3" Type="http://schemas.openxmlformats.org/officeDocument/2006/relationships/hyperlink" Target="https://www.phlaff.org/los-news/peoples-cinema-club-los-news" TargetMode="External"/><Relationship Id="rId4" Type="http://schemas.openxmlformats.org/officeDocument/2006/relationships/hyperlink" Target="https://scribe.org/about-us" TargetMode="External"/><Relationship Id="rId5" Type="http://schemas.openxmlformats.org/officeDocument/2006/relationships/hyperlink" Target="https://scribe.org/about-us" TargetMode="External"/><Relationship Id="rId6" Type="http://schemas.openxmlformats.org/officeDocument/2006/relationships/hyperlink" Target="https://scribe.org/about-us" TargetMode="External"/><Relationship Id="rId7" Type="http://schemas.openxmlformats.org/officeDocument/2006/relationships/hyperlink" Target="https://myphillypark.org/2026-movies-in-philly-parks/" TargetMode="External"/><Relationship Id="rId8" Type="http://schemas.openxmlformats.org/officeDocument/2006/relationships/hyperlink" Target="https://filmadelphia.org/film-series/" TargetMode="External"/><Relationship Id="rId9" Type="http://schemas.openxmlformats.org/officeDocument/2006/relationships/hyperlink" Target="https://filmadelphia.org/" TargetMode="External"/><Relationship Id="rId10" Type="http://schemas.openxmlformats.org/officeDocument/2006/relationships/hyperlink" Target="https://filmadelphia.org/series/community-screenings/" TargetMode="External"/><Relationship Id="rId11" Type="http://schemas.openxmlformats.org/officeDocument/2006/relationships/hyperlink" Target="https://filmadelphia.org/" TargetMode="External"/><Relationship Id="rId12" Type="http://schemas.openxmlformats.org/officeDocument/2006/relationships/hyperlink" Target="https://filmadelphia.org/film-series/" TargetMode="External"/><Relationship Id="rId13" Type="http://schemas.openxmlformats.org/officeDocument/2006/relationships/hyperlink" Target="https://www.broadstreetreview.com/features/meet-10-philly-film-clubs-welcoming-cinephiles-from-across-the-region" TargetMode="External"/><Relationship Id="rId14" Type="http://schemas.openxmlformats.org/officeDocument/2006/relationships/hyperlink" Target="https://www.broadstreetreview.com/features/meet-10-philly-film-clubs-welcoming-cinephiles-from-across-the-region" TargetMode="External"/><Relationship Id="rId15" Type="http://schemas.openxmlformats.org/officeDocument/2006/relationships/hyperlink" Target="https://www.broadstreetreview.com/features/rough-cuts-builds-new-community-as-phillys-only-open-mic-for-filmmakers" TargetMode="External"/><Relationship Id="rId16" Type="http://schemas.openxmlformats.org/officeDocument/2006/relationships/hyperlink" Target="https://philmclub.com/philmclub017" TargetMode="External"/><Relationship Id="rId17" Type="http://schemas.openxmlformats.org/officeDocument/2006/relationships/hyperlink" Target="https://philmclub.com/philmclub017" TargetMode="External"/><Relationship Id="rId18" Type="http://schemas.openxmlformats.org/officeDocument/2006/relationships/hyperlink" Target="https://philmclub.com/philmclub017" TargetMode="External"/><Relationship Id="rId19" Type="http://schemas.openxmlformats.org/officeDocument/2006/relationships/hyperlink" Target="https://www.thenewtowntheatre.com/" TargetMode="External"/><Relationship Id="rId20" Type="http://schemas.openxmlformats.org/officeDocument/2006/relationships/hyperlink" Target="https://philmclub.com/philmclub017" TargetMode="External"/><Relationship Id="rId2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hyperlink" Target="https://billypenn.com/2026/09/10/movie-theaters-philly/" TargetMode="External"/><Relationship Id="rId2" Type="http://schemas.openxmlformats.org/officeDocument/2006/relationships/hyperlink" Target="https://billypenn.com/2026/09/10/movie-theaters-philly/" TargetMode="External"/><Relationship Id="rId3" Type="http://schemas.openxmlformats.org/officeDocument/2006/relationships/hyperlink" Target="https://billypenn.com/2026/09/10/movie-theaters-philly/" TargetMode="External"/><Relationship Id="rId4" Type="http://schemas.openxmlformats.org/officeDocument/2006/relationships/hyperlink" Target="https://billypenn.com/2026/09/10/movie-theaters-philly/" TargetMode="External"/><Relationship Id="rId5" Type="http://schemas.openxmlformats.org/officeDocument/2006/relationships/hyperlink" Target="https://billypenn.com/2026/09/10/movie-theaters-philly/" TargetMode="External"/><Relationship Id="rId6" Type="http://schemas.openxmlformats.org/officeDocument/2006/relationships/hyperlink" Target="https://billypenn.com/2026/09/10/movie-theaters-philly/" TargetMode="External"/><Relationship Id="rId7" Type="http://schemas.openxmlformats.org/officeDocument/2006/relationships/hyperlink" Target="https://billypenn.com/2026/09/10/movie-theaters-philly/" TargetMode="External"/><Relationship Id="rId8" Type="http://schemas.openxmlformats.org/officeDocument/2006/relationships/hyperlink" Target="https://billypenn.com/2026/09/10/movie-theaters-philly/" TargetMode="External"/><Relationship Id="rId9" Type="http://schemas.openxmlformats.org/officeDocument/2006/relationships/hyperlink" Target="https://billypenn.com/2026/09/10/movie-theaters-philly/" TargetMode="External"/><Relationship Id="rId10" Type="http://schemas.openxmlformats.org/officeDocument/2006/relationships/hyperlink" Target="https://billypenn.com/2026/09/10/movie-theaters-philly/" TargetMode="External"/><Relationship Id="rId11" Type="http://schemas.openxmlformats.org/officeDocument/2006/relationships/hyperlink" Target="https://billypenn.com/2026/09/10/movie-theaters-philly/" TargetMode="External"/><Relationship Id="rId12" Type="http://schemas.openxmlformats.org/officeDocument/2006/relationships/hyperlink" Target="https://billypenn.com/2026/09/10/movie-theaters-philly/" TargetMode="External"/><Relationship Id="rId13" Type="http://schemas.openxmlformats.org/officeDocument/2006/relationships/hyperlink" Target="https://billypenn.com/2026/09/10/movie-theaters-philly/" TargetMode="External"/><Relationship Id="rId14" Type="http://schemas.openxmlformats.org/officeDocument/2006/relationships/hyperlink" Target="https://billypenn.com/2026/09/10/movie-theaters-philly/" TargetMode="External"/><Relationship Id="rId15" Type="http://schemas.openxmlformats.org/officeDocument/2006/relationships/hyperlink" Target="https://billypenn.com/2026/09/10/movie-theaters-philly/" TargetMode="External"/><Relationship Id="rId16" Type="http://schemas.openxmlformats.org/officeDocument/2006/relationships/hyperlink" Target="https://www.yelp.com/search?cflt=movietheaters&amp;find_loc=Delaware+County,+PA" TargetMode="External"/><Relationship Id="rId17" Type="http://schemas.openxmlformats.org/officeDocument/2006/relationships/hyperlink" Target="https://www.yelp.com/search?cflt=movietheaters&amp;find_loc=Delaware+County,+PA" TargetMode="External"/><Relationship Id="rId18" Type="http://schemas.openxmlformats.org/officeDocument/2006/relationships/hyperlink" Target="https://www.imdb.com/showtimes/cinema/US/ci1041599/US/19707/" TargetMode="External"/><Relationship Id="rId19" Type="http://schemas.openxmlformats.org/officeDocument/2006/relationships/hyperlink" Target="https://www.yelp.com/search?cflt=movietheaters&amp;find_loc=Delaware+County,+PA" TargetMode="External"/><Relationship Id="rId20" Type="http://schemas.openxmlformats.org/officeDocument/2006/relationships/hyperlink" Target="https://www.yelp.com/search?cflt=movietheaters&amp;find_loc=Delaware+County,+PA" TargetMode="External"/><Relationship Id="rId21" Type="http://schemas.openxmlformats.org/officeDocument/2006/relationships/hyperlink" Target="https://www.imdb.com/showtimes/cinema/US/ci1041599/US/19707/" TargetMode="External"/><Relationship Id="rId22" Type="http://schemas.openxmlformats.org/officeDocument/2006/relationships/hyperlink" Target="https://www.imdb.com/showtimes/cinema/US/ci1041599/US/19707/" TargetMode="External"/><Relationship Id="rId23"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hyperlink" Target="https://www.anthonywaynetheater.org/" TargetMode="External"/><Relationship Id="rId2" Type="http://schemas.openxmlformats.org/officeDocument/2006/relationships/hyperlink" Target="https://cinematreasures.org/theaters/2685" TargetMode="External"/><Relationship Id="rId3" Type="http://schemas.openxmlformats.org/officeDocument/2006/relationships/hyperlink" Target="https://billypenn.com/2026/09/10/movie-theaters-philly/" TargetMode="External"/><Relationship Id="rId4" Type="http://schemas.openxmlformats.org/officeDocument/2006/relationships/hyperlink" Target="https://www.34st.com/article/2026/02/philadelphia-independent-film-third-spaces-the-secret-cinema-lightbox-cinespeak-grassroots-organizations" TargetMode="External"/><Relationship Id="rId5" Type="http://schemas.openxmlformats.org/officeDocument/2006/relationships/hyperlink" Target="https://www.facebook.com/qFLIXfestivals/" TargetMode="External"/><Relationship Id="rId6" Type="http://schemas.openxmlformats.org/officeDocument/2006/relationships/hyperlink" Target="https://njmonthly.com/articles/arts-entertainment/how-pitmans-broadway-theatre-became-a-beloved-100-year-old-south-jersey-landmark/" TargetMode="External"/><Relationship Id="rId7" Type="http://schemas.openxmlformats.org/officeDocument/2006/relationships/hyperlink" Target="https://billypenn.com/2026/09/10/movie-theaters-philly/" TargetMode="External"/><Relationship Id="rId8" Type="http://schemas.openxmlformats.org/officeDocument/2006/relationships/hyperlink" Target="https://6abc.com/post/philadelphia-asian-american-film-foundation-call-support-celebration/19138114/" TargetMode="External"/><Relationship Id="rId9"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hyperlink" Target="https://philmclub.com/" TargetMode="External"/><Relationship Id="rId2" Type="http://schemas.openxmlformats.org/officeDocument/2006/relationships/hyperlink" Target="https://www.poorstuart.com/philadelphia-movie-showtimes-citywide-by-arthouse/" TargetMode="External"/><Relationship Id="rId3" Type="http://schemas.openxmlformats.org/officeDocument/2006/relationships/hyperlink" Target="https://www.moviejawn.com/" TargetMode="External"/><Relationship Id="rId4" Type="http://schemas.openxmlformats.org/officeDocument/2006/relationships/hyperlink" Target="https://cinespeak.org/journal/" TargetMode="External"/><Relationship Id="rId5" Type="http://schemas.openxmlformats.org/officeDocument/2006/relationships/hyperlink" Target="https://www.broadstreetreview.com/" TargetMode="External"/><Relationship Id="rId6" Type="http://schemas.openxmlformats.org/officeDocument/2006/relationships/hyperlink" Target="https://billypenn.com/2026/09/10/movie-theaters-philly/" TargetMode="External"/><Relationship Id="rId7" Type="http://schemas.openxmlformats.org/officeDocument/2006/relationships/hyperlink" Target="https://www.34st.com/" TargetMode="External"/><Relationship Id="rId8" Type="http://schemas.openxmlformats.org/officeDocument/2006/relationships/hyperlink" Target="https://www.visitphilly.com/articles/philadelphia/top-events-and-festivals-in-philadelphia/" TargetMode="External"/><Relationship Id="rId9" Type="http://schemas.openxmlformats.org/officeDocument/2006/relationships/hyperlink" Target="https://www.fandango.com/" TargetMode="External"/><Relationship Id="rId10"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70"/>
    <col collapsed="false" customWidth="true" hidden="false" outlineLevel="0" max="26" min="4" style="0" width="8.71"/>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row r="4" customFormat="false" ht="15" hidden="false" customHeight="false" outlineLevel="0" collapsed="false">
      <c r="A4" s="3" t="s">
        <v>2</v>
      </c>
    </row>
    <row r="5" customFormat="false" ht="15" hidden="false" customHeight="false" outlineLevel="0" collapsed="false">
      <c r="A5" s="4" t="s">
        <v>3</v>
      </c>
      <c r="B5" s="5" t="n">
        <f aca="false">COUNTA(Venues!A2:A200)</f>
        <v>25</v>
      </c>
      <c r="C5" s="6" t="s">
        <v>4</v>
      </c>
    </row>
    <row r="6" customFormat="false" ht="15" hidden="false" customHeight="false" outlineLevel="0" collapsed="false">
      <c r="A6" s="4" t="s">
        <v>5</v>
      </c>
      <c r="B6" s="5" t="n">
        <f aca="false">COUNTIF(Venues!C2:C200,"Yes")</f>
        <v>17</v>
      </c>
      <c r="C6" s="6" t="s">
        <v>6</v>
      </c>
    </row>
    <row r="7" customFormat="false" ht="15" hidden="false" customHeight="false" outlineLevel="0" collapsed="false">
      <c r="A7" s="4" t="s">
        <v>7</v>
      </c>
      <c r="B7" s="5" t="n">
        <f aca="false">COUNTIF(Venues!C2:C200,"Judgment call")</f>
        <v>3</v>
      </c>
      <c r="C7" s="6" t="s">
        <v>8</v>
      </c>
    </row>
    <row r="8" customFormat="false" ht="15" hidden="false" customHeight="false" outlineLevel="0" collapsed="false">
      <c r="A8" s="4" t="s">
        <v>9</v>
      </c>
      <c r="B8" s="5" t="n">
        <f aca="false">COUNTIF(Venues!L2:L200,"Fringe*")</f>
        <v>4</v>
      </c>
      <c r="C8" s="6" t="s">
        <v>10</v>
      </c>
    </row>
    <row r="9" customFormat="false" ht="15" hidden="false" customHeight="false" outlineLevel="0" collapsed="false">
      <c r="A9" s="4" t="s">
        <v>11</v>
      </c>
      <c r="B9" s="5" t="n">
        <f aca="false">COUNTA('Host Venues (Occasional)'!A2:A200)</f>
        <v>36</v>
      </c>
      <c r="C9" s="6" t="s">
        <v>12</v>
      </c>
    </row>
    <row r="10" customFormat="false" ht="15" hidden="false" customHeight="false" outlineLevel="0" collapsed="false">
      <c r="A10" s="4" t="s">
        <v>13</v>
      </c>
      <c r="B10" s="5" t="n">
        <f aca="false">COUNTA('Orgs &amp; Clubs'!A2:A200)</f>
        <v>32</v>
      </c>
      <c r="C10" s="6" t="s">
        <v>14</v>
      </c>
    </row>
    <row r="11" customFormat="false" ht="15" hidden="false" customHeight="false" outlineLevel="0" collapsed="false">
      <c r="A11" s="4" t="s">
        <v>15</v>
      </c>
      <c r="B11" s="5" t="n">
        <f aca="false">COUNTA(Festivals!A2:A200)</f>
        <v>24</v>
      </c>
      <c r="C11" s="6" t="s">
        <v>16</v>
      </c>
    </row>
    <row r="12" customFormat="false" ht="15" hidden="false" customHeight="false" outlineLevel="0" collapsed="false">
      <c r="A12" s="4" t="s">
        <v>17</v>
      </c>
      <c r="B12" s="5" t="n">
        <f aca="false">COUNTA('Recurring Series'!A2:A200)</f>
        <v>23</v>
      </c>
      <c r="C12" s="6" t="s">
        <v>18</v>
      </c>
    </row>
    <row r="13" customFormat="false" ht="15" hidden="false" customHeight="false" outlineLevel="0" collapsed="false">
      <c r="A13" s="4" t="s">
        <v>19</v>
      </c>
      <c r="B13" s="5" t="n">
        <f aca="false">COUNTA('Excluded Chains'!A2:A23)</f>
        <v>22</v>
      </c>
      <c r="C13" s="6" t="s">
        <v>20</v>
      </c>
    </row>
    <row r="14" customFormat="false" ht="15" hidden="false" customHeight="false" outlineLevel="0" collapsed="false"/>
    <row r="15" customFormat="false" ht="15" hidden="false" customHeight="false" outlineLevel="0" collapsed="false">
      <c r="A15" s="3" t="s">
        <v>21</v>
      </c>
    </row>
    <row r="16" customFormat="false" ht="15" hidden="false" customHeight="false" outlineLevel="0" collapsed="false">
      <c r="A16" s="7" t="s">
        <v>22</v>
      </c>
      <c r="B16" s="5"/>
      <c r="C16" s="6" t="s">
        <v>23</v>
      </c>
    </row>
    <row r="17" customFormat="false" ht="15" hidden="false" customHeight="false" outlineLevel="0" collapsed="false">
      <c r="A17" s="8" t="s">
        <v>24</v>
      </c>
      <c r="B17" s="5"/>
      <c r="C17" s="6" t="s">
        <v>25</v>
      </c>
    </row>
    <row r="18" customFormat="false" ht="23.85" hidden="false" customHeight="false" outlineLevel="0" collapsed="false">
      <c r="A18" s="4" t="s">
        <v>26</v>
      </c>
      <c r="B18" s="5"/>
      <c r="C18" s="6" t="s">
        <v>27</v>
      </c>
    </row>
    <row r="19" customFormat="false" ht="23.85" hidden="false" customHeight="false" outlineLevel="0" collapsed="false">
      <c r="A19" s="4" t="s">
        <v>28</v>
      </c>
      <c r="B19" s="5"/>
      <c r="C19" s="6" t="s">
        <v>29</v>
      </c>
    </row>
    <row r="20" customFormat="false" ht="23.85" hidden="false" customHeight="false" outlineLevel="0" collapsed="false">
      <c r="A20" s="4" t="s">
        <v>30</v>
      </c>
      <c r="B20" s="5"/>
      <c r="C20" s="6" t="s">
        <v>31</v>
      </c>
    </row>
    <row r="21" customFormat="false" ht="15.75" hidden="false" customHeight="true" outlineLevel="0" collapsed="false">
      <c r="A21" s="4" t="s">
        <v>32</v>
      </c>
      <c r="B21" s="5"/>
      <c r="C21" s="6" t="s">
        <v>33</v>
      </c>
    </row>
    <row r="22" customFormat="false" ht="15.75" hidden="false" customHeight="true" outlineLevel="0" collapsed="false"/>
    <row r="23" customFormat="false" ht="15.75" hidden="false" customHeight="true" outlineLevel="0" collapsed="false">
      <c r="A23" s="3" t="s">
        <v>34</v>
      </c>
    </row>
    <row r="24" customFormat="false" ht="15.75" hidden="false" customHeight="true" outlineLevel="0" collapsed="false">
      <c r="A24" s="4" t="s">
        <v>35</v>
      </c>
      <c r="B24" s="5"/>
      <c r="C24" s="6" t="s">
        <v>36</v>
      </c>
    </row>
    <row r="25" customFormat="false" ht="15.75" hidden="false" customHeight="true" outlineLevel="0" collapsed="false">
      <c r="A25" s="4" t="s">
        <v>37</v>
      </c>
      <c r="B25" s="5"/>
      <c r="C25" s="6" t="s">
        <v>38</v>
      </c>
    </row>
    <row r="26" customFormat="false" ht="15.75" hidden="false" customHeight="true" outlineLevel="0" collapsed="false">
      <c r="A26" s="4" t="s">
        <v>39</v>
      </c>
      <c r="B26" s="5"/>
      <c r="C26" s="6" t="s">
        <v>40</v>
      </c>
    </row>
    <row r="27" customFormat="false" ht="15.75" hidden="false" customHeight="true" outlineLevel="0" collapsed="false">
      <c r="A27" s="4" t="s">
        <v>41</v>
      </c>
      <c r="B27" s="5"/>
      <c r="C27" s="6" t="s">
        <v>42</v>
      </c>
    </row>
    <row r="28" customFormat="false" ht="15.75" hidden="false" customHeight="true" outlineLevel="0" collapsed="false">
      <c r="A28" s="9" t="s">
        <v>43</v>
      </c>
      <c r="B28" s="5" t="s">
        <v>44</v>
      </c>
    </row>
    <row r="29" customFormat="false" ht="15.75" hidden="false" customHeight="true" outlineLevel="0" collapsed="false">
      <c r="A29" s="9" t="s">
        <v>45</v>
      </c>
      <c r="B29" s="5" t="s">
        <v>46</v>
      </c>
    </row>
    <row r="30" customFormat="false" ht="15.75" hidden="false" customHeight="true" outlineLevel="0" collapsed="false">
      <c r="A30" s="9" t="s">
        <v>47</v>
      </c>
      <c r="B30" s="5" t="s">
        <v>48</v>
      </c>
    </row>
    <row r="31" customFormat="false" ht="15.75" hidden="false" customHeight="true" outlineLevel="0" collapsed="false">
      <c r="A31" s="9" t="s">
        <v>49</v>
      </c>
      <c r="B31" s="5" t="s">
        <v>50</v>
      </c>
    </row>
    <row r="32" customFormat="false" ht="15.75" hidden="false" customHeight="true" outlineLevel="0" collapsed="false"/>
    <row r="33" customFormat="false" ht="15.75" hidden="false" customHeight="true" outlineLevel="0" collapsed="false">
      <c r="A33" s="10" t="s">
        <v>51</v>
      </c>
    </row>
    <row r="34" customFormat="false" ht="15.75" hidden="false" customHeight="true" outlineLevel="0" collapsed="false">
      <c r="A34" s="4" t="s">
        <v>52</v>
      </c>
    </row>
    <row r="35" customFormat="false" ht="15.75" hidden="false" customHeight="true" outlineLevel="0" collapsed="false">
      <c r="A35" s="4" t="s">
        <v>53</v>
      </c>
    </row>
    <row r="36" customFormat="false" ht="15.75" hidden="false" customHeight="true" outlineLevel="0" collapsed="false">
      <c r="A36" s="4" t="s">
        <v>54</v>
      </c>
    </row>
    <row r="37" customFormat="false" ht="15.75" hidden="false" customHeight="true" outlineLevel="0" collapsed="false">
      <c r="A37" s="4" t="s">
        <v>55</v>
      </c>
    </row>
    <row r="38" customFormat="false" ht="15.75" hidden="false" customHeight="true" outlineLevel="0" collapsed="false">
      <c r="A38" s="4" t="s">
        <v>56</v>
      </c>
    </row>
    <row r="39" customFormat="false" ht="15.75" hidden="false" customHeight="true" outlineLevel="0" collapsed="false">
      <c r="A39" s="4" t="s">
        <v>57</v>
      </c>
    </row>
    <row r="40" customFormat="false" ht="15.75" hidden="false" customHeight="true" outlineLevel="0" collapsed="false">
      <c r="A40" s="4" t="s">
        <v>58</v>
      </c>
    </row>
    <row r="41" customFormat="false" ht="15.75" hidden="false" customHeight="true" outlineLevel="0" collapsed="false">
      <c r="A41" s="4" t="s">
        <v>59</v>
      </c>
    </row>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4.433593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13"/>
    <col collapsed="false" customWidth="true" hidden="false" outlineLevel="0" max="4" min="4" style="0" width="24"/>
    <col collapsed="false" customWidth="true" hidden="false" outlineLevel="0" max="5" min="5" style="0" width="28"/>
    <col collapsed="false" customWidth="true" hidden="false" outlineLevel="0" max="6" min="6" style="0" width="22"/>
    <col collapsed="false" customWidth="true" hidden="false" outlineLevel="0" max="7" min="7" style="0" width="30"/>
    <col collapsed="false" customWidth="true" hidden="false" outlineLevel="0" max="8" min="8" style="0" width="16"/>
    <col collapsed="false" customWidth="true" hidden="false" outlineLevel="0" max="9" min="9" style="0" width="6"/>
    <col collapsed="false" customWidth="true" hidden="false" outlineLevel="0" max="10" min="10" style="0" width="8"/>
    <col collapsed="false" customWidth="true" hidden="false" outlineLevel="0" max="11" min="11" style="0" width="13"/>
    <col collapsed="false" customWidth="true" hidden="false" outlineLevel="0" max="12" min="12" style="0" width="16"/>
    <col collapsed="false" customWidth="true" hidden="false" outlineLevel="0" max="14" min="13" style="0" width="11"/>
    <col collapsed="false" customWidth="true" hidden="false" outlineLevel="0" max="15" min="15" style="0" width="18"/>
    <col collapsed="false" customWidth="true" hidden="false" outlineLevel="0" max="16" min="16" style="0" width="36"/>
    <col collapsed="false" customWidth="true" hidden="false" outlineLevel="0" max="17" min="17" style="0" width="34"/>
    <col collapsed="false" customWidth="true" hidden="false" outlineLevel="0" max="18" min="18" style="0" width="40"/>
    <col collapsed="false" customWidth="true" hidden="false" outlineLevel="0" max="19" min="19" style="0" width="30"/>
    <col collapsed="false" customWidth="true" hidden="false" outlineLevel="0" max="20" min="20" style="0" width="18"/>
    <col collapsed="false" customWidth="true" hidden="false" outlineLevel="0" max="21" min="21" style="0" width="36"/>
    <col collapsed="false" customWidth="true" hidden="false" outlineLevel="0" max="22" min="22" style="0" width="55"/>
    <col collapsed="false" customWidth="true" hidden="false" outlineLevel="0" max="26" min="23" style="0" width="8.71"/>
  </cols>
  <sheetData>
    <row r="1" customFormat="false" ht="31.5" hidden="false" customHeight="true" outlineLevel="0" collapsed="false">
      <c r="A1" s="11" t="s">
        <v>60</v>
      </c>
      <c r="B1" s="11" t="s">
        <v>61</v>
      </c>
      <c r="C1" s="11" t="s">
        <v>62</v>
      </c>
      <c r="D1" s="11" t="s">
        <v>63</v>
      </c>
      <c r="E1" s="11" t="s">
        <v>64</v>
      </c>
      <c r="F1" s="11" t="s">
        <v>65</v>
      </c>
      <c r="G1" s="11" t="s">
        <v>66</v>
      </c>
      <c r="H1" s="11" t="s">
        <v>67</v>
      </c>
      <c r="I1" s="11" t="s">
        <v>68</v>
      </c>
      <c r="J1" s="11" t="s">
        <v>69</v>
      </c>
      <c r="K1" s="11" t="s">
        <v>70</v>
      </c>
      <c r="L1" s="11" t="s">
        <v>71</v>
      </c>
      <c r="M1" s="11" t="s">
        <v>72</v>
      </c>
      <c r="N1" s="11" t="s">
        <v>73</v>
      </c>
      <c r="O1" s="11" t="s">
        <v>28</v>
      </c>
      <c r="P1" s="11" t="s">
        <v>74</v>
      </c>
      <c r="Q1" s="11" t="s">
        <v>75</v>
      </c>
      <c r="R1" s="11" t="s">
        <v>76</v>
      </c>
      <c r="S1" s="11" t="s">
        <v>77</v>
      </c>
      <c r="T1" s="11" t="s">
        <v>30</v>
      </c>
      <c r="U1" s="11" t="s">
        <v>78</v>
      </c>
      <c r="V1" s="11" t="s">
        <v>79</v>
      </c>
    </row>
    <row r="2" customFormat="false" ht="102.2" hidden="false" customHeight="false" outlineLevel="0" collapsed="false">
      <c r="A2" s="12" t="s">
        <v>80</v>
      </c>
      <c r="B2" s="12" t="s">
        <v>81</v>
      </c>
      <c r="C2" s="12" t="s">
        <v>82</v>
      </c>
      <c r="D2" s="12" t="s">
        <v>83</v>
      </c>
      <c r="E2" s="12" t="s">
        <v>84</v>
      </c>
      <c r="F2" s="12" t="s">
        <v>85</v>
      </c>
      <c r="G2" s="12" t="s">
        <v>86</v>
      </c>
      <c r="H2" s="12" t="s">
        <v>87</v>
      </c>
      <c r="I2" s="12" t="s">
        <v>88</v>
      </c>
      <c r="J2" s="12" t="s">
        <v>89</v>
      </c>
      <c r="K2" s="12" t="s">
        <v>87</v>
      </c>
      <c r="L2" s="12" t="s">
        <v>90</v>
      </c>
      <c r="M2" s="12" t="n">
        <v>39.95054</v>
      </c>
      <c r="N2" s="12" t="n">
        <v>-75.16466</v>
      </c>
      <c r="O2" s="12" t="s">
        <v>91</v>
      </c>
      <c r="P2" s="13" t="s">
        <v>92</v>
      </c>
      <c r="Q2" s="13" t="s">
        <v>93</v>
      </c>
      <c r="R2" s="12" t="s">
        <v>94</v>
      </c>
      <c r="S2" s="12" t="s">
        <v>95</v>
      </c>
      <c r="T2" s="12" t="s">
        <v>96</v>
      </c>
      <c r="U2" s="13" t="s">
        <v>92</v>
      </c>
      <c r="V2" s="12" t="s">
        <v>97</v>
      </c>
    </row>
    <row r="3" customFormat="false" ht="79.85" hidden="false" customHeight="false" outlineLevel="0" collapsed="false">
      <c r="A3" s="12" t="s">
        <v>98</v>
      </c>
      <c r="B3" s="12" t="s">
        <v>99</v>
      </c>
      <c r="C3" s="12" t="s">
        <v>82</v>
      </c>
      <c r="D3" s="12" t="s">
        <v>83</v>
      </c>
      <c r="E3" s="12" t="s">
        <v>84</v>
      </c>
      <c r="F3" s="12" t="s">
        <v>85</v>
      </c>
      <c r="G3" s="12" t="s">
        <v>100</v>
      </c>
      <c r="H3" s="12" t="s">
        <v>87</v>
      </c>
      <c r="I3" s="12" t="s">
        <v>88</v>
      </c>
      <c r="J3" s="12" t="s">
        <v>101</v>
      </c>
      <c r="K3" s="12" t="s">
        <v>87</v>
      </c>
      <c r="L3" s="12" t="s">
        <v>90</v>
      </c>
      <c r="M3" s="12" t="n">
        <v>39.949289</v>
      </c>
      <c r="N3" s="12" t="n">
        <v>-75.147712</v>
      </c>
      <c r="O3" s="12" t="s">
        <v>91</v>
      </c>
      <c r="P3" s="13" t="s">
        <v>102</v>
      </c>
      <c r="Q3" s="13" t="s">
        <v>93</v>
      </c>
      <c r="R3" s="12" t="s">
        <v>103</v>
      </c>
      <c r="S3" s="12" t="s">
        <v>95</v>
      </c>
      <c r="T3" s="12" t="s">
        <v>96</v>
      </c>
      <c r="U3" s="13" t="s">
        <v>104</v>
      </c>
      <c r="V3" s="12" t="s">
        <v>105</v>
      </c>
    </row>
    <row r="4" customFormat="false" ht="91" hidden="false" customHeight="false" outlineLevel="0" collapsed="false">
      <c r="A4" s="12" t="s">
        <v>106</v>
      </c>
      <c r="B4" s="12" t="s">
        <v>107</v>
      </c>
      <c r="C4" s="12" t="s">
        <v>82</v>
      </c>
      <c r="D4" s="12" t="s">
        <v>83</v>
      </c>
      <c r="E4" s="12" t="s">
        <v>84</v>
      </c>
      <c r="F4" s="12" t="s">
        <v>85</v>
      </c>
      <c r="G4" s="12" t="s">
        <v>108</v>
      </c>
      <c r="H4" s="12" t="s">
        <v>87</v>
      </c>
      <c r="I4" s="12" t="s">
        <v>88</v>
      </c>
      <c r="J4" s="12" t="s">
        <v>101</v>
      </c>
      <c r="K4" s="12" t="s">
        <v>87</v>
      </c>
      <c r="L4" s="12" t="s">
        <v>90</v>
      </c>
      <c r="M4" s="12" t="n">
        <v>39.94764</v>
      </c>
      <c r="N4" s="12" t="n">
        <v>-75.143867</v>
      </c>
      <c r="O4" s="12" t="s">
        <v>91</v>
      </c>
      <c r="P4" s="13" t="s">
        <v>109</v>
      </c>
      <c r="Q4" s="13" t="s">
        <v>93</v>
      </c>
      <c r="R4" s="12" t="s">
        <v>110</v>
      </c>
      <c r="S4" s="12" t="s">
        <v>95</v>
      </c>
      <c r="T4" s="12" t="s">
        <v>96</v>
      </c>
      <c r="U4" s="13" t="s">
        <v>111</v>
      </c>
      <c r="V4" s="12" t="s">
        <v>112</v>
      </c>
    </row>
    <row r="5" customFormat="false" ht="35.05" hidden="false" customHeight="false" outlineLevel="0" collapsed="false">
      <c r="A5" s="14" t="s">
        <v>113</v>
      </c>
      <c r="B5" s="14" t="s">
        <v>114</v>
      </c>
      <c r="C5" s="14" t="s">
        <v>115</v>
      </c>
      <c r="D5" s="14" t="s">
        <v>116</v>
      </c>
      <c r="E5" s="14" t="s">
        <v>117</v>
      </c>
      <c r="F5" s="14" t="s">
        <v>118</v>
      </c>
      <c r="G5" s="14" t="s">
        <v>119</v>
      </c>
      <c r="H5" s="14" t="s">
        <v>87</v>
      </c>
      <c r="I5" s="14" t="s">
        <v>88</v>
      </c>
      <c r="J5" s="14" t="s">
        <v>101</v>
      </c>
      <c r="K5" s="14" t="s">
        <v>87</v>
      </c>
      <c r="L5" s="14" t="s">
        <v>90</v>
      </c>
      <c r="M5" s="14" t="n">
        <v>39.946886</v>
      </c>
      <c r="N5" s="14" t="n">
        <v>-75.14556</v>
      </c>
      <c r="O5" s="14" t="s">
        <v>91</v>
      </c>
      <c r="P5" s="15" t="s">
        <v>120</v>
      </c>
      <c r="Q5" s="15" t="s">
        <v>120</v>
      </c>
      <c r="R5" s="14" t="s">
        <v>121</v>
      </c>
      <c r="S5" s="14" t="s">
        <v>122</v>
      </c>
      <c r="T5" s="14" t="s">
        <v>96</v>
      </c>
      <c r="U5" s="15" t="s">
        <v>123</v>
      </c>
      <c r="V5" s="14" t="s">
        <v>124</v>
      </c>
    </row>
    <row r="6" customFormat="false" ht="102.2" hidden="false" customHeight="false" outlineLevel="0" collapsed="false">
      <c r="A6" s="12" t="s">
        <v>125</v>
      </c>
      <c r="B6" s="12" t="s">
        <v>126</v>
      </c>
      <c r="C6" s="12" t="s">
        <v>82</v>
      </c>
      <c r="D6" s="12" t="s">
        <v>127</v>
      </c>
      <c r="E6" s="12" t="s">
        <v>128</v>
      </c>
      <c r="F6" s="12" t="s">
        <v>85</v>
      </c>
      <c r="G6" s="12" t="s">
        <v>129</v>
      </c>
      <c r="H6" s="12" t="s">
        <v>87</v>
      </c>
      <c r="I6" s="12" t="s">
        <v>88</v>
      </c>
      <c r="J6" s="12" t="s">
        <v>130</v>
      </c>
      <c r="K6" s="12" t="s">
        <v>87</v>
      </c>
      <c r="L6" s="12" t="s">
        <v>90</v>
      </c>
      <c r="M6" s="12"/>
      <c r="N6" s="12"/>
      <c r="O6" s="12" t="s">
        <v>131</v>
      </c>
      <c r="P6" s="13" t="s">
        <v>132</v>
      </c>
      <c r="Q6" s="13" t="s">
        <v>133</v>
      </c>
      <c r="R6" s="12" t="s">
        <v>134</v>
      </c>
      <c r="S6" s="12" t="s">
        <v>95</v>
      </c>
      <c r="T6" s="12" t="s">
        <v>96</v>
      </c>
      <c r="U6" s="13" t="s">
        <v>132</v>
      </c>
      <c r="V6" s="12" t="s">
        <v>135</v>
      </c>
    </row>
    <row r="7" customFormat="false" ht="35.05" hidden="false" customHeight="false" outlineLevel="0" collapsed="false">
      <c r="A7" s="12" t="s">
        <v>136</v>
      </c>
      <c r="B7" s="12" t="s">
        <v>137</v>
      </c>
      <c r="C7" s="12" t="s">
        <v>82</v>
      </c>
      <c r="D7" s="12" t="s">
        <v>138</v>
      </c>
      <c r="E7" s="12" t="s">
        <v>139</v>
      </c>
      <c r="F7" s="12" t="s">
        <v>140</v>
      </c>
      <c r="G7" s="12" t="s">
        <v>141</v>
      </c>
      <c r="H7" s="12" t="s">
        <v>87</v>
      </c>
      <c r="I7" s="12" t="s">
        <v>88</v>
      </c>
      <c r="J7" s="12" t="s">
        <v>142</v>
      </c>
      <c r="K7" s="12" t="s">
        <v>87</v>
      </c>
      <c r="L7" s="12" t="s">
        <v>90</v>
      </c>
      <c r="M7" s="12"/>
      <c r="N7" s="12"/>
      <c r="O7" s="12" t="s">
        <v>131</v>
      </c>
      <c r="P7" s="13" t="s">
        <v>143</v>
      </c>
      <c r="Q7" s="13" t="s">
        <v>144</v>
      </c>
      <c r="R7" s="12" t="s">
        <v>145</v>
      </c>
      <c r="S7" s="12" t="s">
        <v>95</v>
      </c>
      <c r="T7" s="12" t="s">
        <v>96</v>
      </c>
      <c r="U7" s="13" t="s">
        <v>143</v>
      </c>
      <c r="V7" s="12" t="s">
        <v>146</v>
      </c>
    </row>
    <row r="8" customFormat="false" ht="35.05" hidden="false" customHeight="false" outlineLevel="0" collapsed="false">
      <c r="A8" s="12" t="s">
        <v>147</v>
      </c>
      <c r="B8" s="12" t="s">
        <v>148</v>
      </c>
      <c r="C8" s="12" t="s">
        <v>82</v>
      </c>
      <c r="D8" s="12" t="s">
        <v>149</v>
      </c>
      <c r="E8" s="12" t="s">
        <v>148</v>
      </c>
      <c r="F8" s="12" t="s">
        <v>85</v>
      </c>
      <c r="G8" s="12" t="s">
        <v>150</v>
      </c>
      <c r="H8" s="12" t="s">
        <v>87</v>
      </c>
      <c r="I8" s="12" t="s">
        <v>88</v>
      </c>
      <c r="J8" s="12" t="s">
        <v>151</v>
      </c>
      <c r="K8" s="12" t="s">
        <v>87</v>
      </c>
      <c r="L8" s="12" t="s">
        <v>90</v>
      </c>
      <c r="M8" s="12"/>
      <c r="N8" s="12"/>
      <c r="O8" s="12" t="s">
        <v>131</v>
      </c>
      <c r="P8" s="13" t="s">
        <v>152</v>
      </c>
      <c r="Q8" s="13" t="s">
        <v>153</v>
      </c>
      <c r="R8" s="12" t="s">
        <v>154</v>
      </c>
      <c r="S8" s="12" t="s">
        <v>95</v>
      </c>
      <c r="T8" s="12" t="s">
        <v>96</v>
      </c>
      <c r="U8" s="13" t="s">
        <v>153</v>
      </c>
      <c r="V8" s="12"/>
    </row>
    <row r="9" customFormat="false" ht="68.65" hidden="false" customHeight="false" outlineLevel="0" collapsed="false">
      <c r="A9" s="12" t="s">
        <v>155</v>
      </c>
      <c r="B9" s="12" t="s">
        <v>156</v>
      </c>
      <c r="C9" s="12" t="s">
        <v>82</v>
      </c>
      <c r="D9" s="12" t="s">
        <v>157</v>
      </c>
      <c r="E9" s="12" t="s">
        <v>158</v>
      </c>
      <c r="F9" s="12" t="s">
        <v>85</v>
      </c>
      <c r="G9" s="12" t="s">
        <v>159</v>
      </c>
      <c r="H9" s="12" t="s">
        <v>87</v>
      </c>
      <c r="I9" s="12" t="s">
        <v>88</v>
      </c>
      <c r="J9" s="12" t="s">
        <v>160</v>
      </c>
      <c r="K9" s="12" t="s">
        <v>87</v>
      </c>
      <c r="L9" s="12" t="s">
        <v>90</v>
      </c>
      <c r="M9" s="12"/>
      <c r="N9" s="12"/>
      <c r="O9" s="12" t="s">
        <v>131</v>
      </c>
      <c r="P9" s="13" t="s">
        <v>161</v>
      </c>
      <c r="Q9" s="13" t="s">
        <v>161</v>
      </c>
      <c r="R9" s="12" t="s">
        <v>162</v>
      </c>
      <c r="S9" s="12" t="s">
        <v>95</v>
      </c>
      <c r="T9" s="12" t="s">
        <v>96</v>
      </c>
      <c r="U9" s="13" t="s">
        <v>161</v>
      </c>
      <c r="V9" s="12" t="s">
        <v>163</v>
      </c>
    </row>
    <row r="10" customFormat="false" ht="23.85" hidden="false" customHeight="false" outlineLevel="0" collapsed="false">
      <c r="A10" s="12" t="s">
        <v>164</v>
      </c>
      <c r="B10" s="12" t="s">
        <v>165</v>
      </c>
      <c r="C10" s="12" t="s">
        <v>82</v>
      </c>
      <c r="D10" s="12" t="s">
        <v>166</v>
      </c>
      <c r="E10" s="12" t="s">
        <v>167</v>
      </c>
      <c r="F10" s="12" t="s">
        <v>168</v>
      </c>
      <c r="G10" s="12" t="s">
        <v>169</v>
      </c>
      <c r="H10" s="12" t="s">
        <v>87</v>
      </c>
      <c r="I10" s="12" t="s">
        <v>88</v>
      </c>
      <c r="J10" s="12" t="s">
        <v>89</v>
      </c>
      <c r="K10" s="12" t="s">
        <v>87</v>
      </c>
      <c r="L10" s="12" t="s">
        <v>90</v>
      </c>
      <c r="M10" s="12"/>
      <c r="N10" s="12"/>
      <c r="O10" s="12" t="s">
        <v>131</v>
      </c>
      <c r="P10" s="13" t="s">
        <v>170</v>
      </c>
      <c r="Q10" s="12" t="s">
        <v>171</v>
      </c>
      <c r="R10" s="12" t="s">
        <v>172</v>
      </c>
      <c r="S10" s="12" t="s">
        <v>173</v>
      </c>
      <c r="T10" s="12" t="s">
        <v>96</v>
      </c>
      <c r="U10" s="13" t="s">
        <v>170</v>
      </c>
      <c r="V10" s="12" t="s">
        <v>174</v>
      </c>
    </row>
    <row r="11" customFormat="false" ht="35.05" hidden="false" customHeight="false" outlineLevel="0" collapsed="false">
      <c r="A11" s="12" t="s">
        <v>175</v>
      </c>
      <c r="B11" s="12" t="s">
        <v>176</v>
      </c>
      <c r="C11" s="12" t="s">
        <v>82</v>
      </c>
      <c r="D11" s="12" t="s">
        <v>83</v>
      </c>
      <c r="E11" s="12" t="s">
        <v>177</v>
      </c>
      <c r="F11" s="12" t="s">
        <v>85</v>
      </c>
      <c r="G11" s="12" t="s">
        <v>178</v>
      </c>
      <c r="H11" s="12" t="s">
        <v>179</v>
      </c>
      <c r="I11" s="12" t="s">
        <v>88</v>
      </c>
      <c r="J11" s="12" t="s">
        <v>180</v>
      </c>
      <c r="K11" s="12" t="s">
        <v>181</v>
      </c>
      <c r="L11" s="12" t="s">
        <v>90</v>
      </c>
      <c r="M11" s="12" t="n">
        <v>40.021573</v>
      </c>
      <c r="N11" s="12" t="n">
        <v>-75.319041</v>
      </c>
      <c r="O11" s="12" t="s">
        <v>91</v>
      </c>
      <c r="P11" s="13" t="s">
        <v>182</v>
      </c>
      <c r="Q11" s="13" t="s">
        <v>182</v>
      </c>
      <c r="R11" s="12" t="s">
        <v>183</v>
      </c>
      <c r="S11" s="12" t="s">
        <v>95</v>
      </c>
      <c r="T11" s="12" t="s">
        <v>96</v>
      </c>
      <c r="U11" s="13" t="s">
        <v>184</v>
      </c>
      <c r="V11" s="12" t="s">
        <v>185</v>
      </c>
    </row>
    <row r="12" customFormat="false" ht="46.25" hidden="false" customHeight="false" outlineLevel="0" collapsed="false">
      <c r="A12" s="12" t="s">
        <v>186</v>
      </c>
      <c r="B12" s="12" t="s">
        <v>187</v>
      </c>
      <c r="C12" s="12" t="s">
        <v>82</v>
      </c>
      <c r="D12" s="12" t="s">
        <v>83</v>
      </c>
      <c r="E12" s="12" t="s">
        <v>188</v>
      </c>
      <c r="F12" s="12" t="s">
        <v>189</v>
      </c>
      <c r="G12" s="12" t="s">
        <v>190</v>
      </c>
      <c r="H12" s="12" t="s">
        <v>191</v>
      </c>
      <c r="I12" s="12" t="s">
        <v>88</v>
      </c>
      <c r="J12" s="12" t="s">
        <v>192</v>
      </c>
      <c r="K12" s="12" t="s">
        <v>181</v>
      </c>
      <c r="L12" s="12" t="s">
        <v>90</v>
      </c>
      <c r="M12" s="12" t="n">
        <v>40.154726</v>
      </c>
      <c r="N12" s="12" t="n">
        <v>-75.221091</v>
      </c>
      <c r="O12" s="12" t="s">
        <v>91</v>
      </c>
      <c r="P12" s="13" t="s">
        <v>193</v>
      </c>
      <c r="Q12" s="13" t="s">
        <v>193</v>
      </c>
      <c r="R12" s="12" t="s">
        <v>194</v>
      </c>
      <c r="S12" s="12" t="s">
        <v>95</v>
      </c>
      <c r="T12" s="12" t="s">
        <v>96</v>
      </c>
      <c r="U12" s="13" t="s">
        <v>195</v>
      </c>
      <c r="V12" s="12" t="s">
        <v>196</v>
      </c>
    </row>
    <row r="13" customFormat="false" ht="46.25" hidden="false" customHeight="false" outlineLevel="0" collapsed="false">
      <c r="A13" s="12" t="s">
        <v>197</v>
      </c>
      <c r="B13" s="12" t="s">
        <v>198</v>
      </c>
      <c r="C13" s="12" t="s">
        <v>82</v>
      </c>
      <c r="D13" s="12" t="s">
        <v>83</v>
      </c>
      <c r="E13" s="12" t="s">
        <v>188</v>
      </c>
      <c r="F13" s="12" t="s">
        <v>189</v>
      </c>
      <c r="G13" s="12" t="s">
        <v>199</v>
      </c>
      <c r="H13" s="12" t="s">
        <v>200</v>
      </c>
      <c r="I13" s="12" t="s">
        <v>88</v>
      </c>
      <c r="J13" s="12" t="s">
        <v>201</v>
      </c>
      <c r="K13" s="12" t="s">
        <v>202</v>
      </c>
      <c r="L13" s="12" t="s">
        <v>90</v>
      </c>
      <c r="M13" s="12"/>
      <c r="N13" s="12"/>
      <c r="O13" s="12" t="s">
        <v>131</v>
      </c>
      <c r="P13" s="13" t="s">
        <v>203</v>
      </c>
      <c r="Q13" s="13" t="s">
        <v>203</v>
      </c>
      <c r="R13" s="12" t="s">
        <v>204</v>
      </c>
      <c r="S13" s="12" t="s">
        <v>95</v>
      </c>
      <c r="T13" s="12" t="s">
        <v>205</v>
      </c>
      <c r="U13" s="13" t="s">
        <v>195</v>
      </c>
      <c r="V13" s="12" t="s">
        <v>206</v>
      </c>
    </row>
    <row r="14" customFormat="false" ht="57.45" hidden="false" customHeight="false" outlineLevel="0" collapsed="false">
      <c r="A14" s="12" t="s">
        <v>207</v>
      </c>
      <c r="B14" s="12" t="s">
        <v>208</v>
      </c>
      <c r="C14" s="12" t="s">
        <v>82</v>
      </c>
      <c r="D14" s="12" t="s">
        <v>83</v>
      </c>
      <c r="E14" s="12" t="s">
        <v>188</v>
      </c>
      <c r="F14" s="12" t="s">
        <v>189</v>
      </c>
      <c r="G14" s="12" t="s">
        <v>209</v>
      </c>
      <c r="H14" s="12" t="s">
        <v>210</v>
      </c>
      <c r="I14" s="12" t="s">
        <v>88</v>
      </c>
      <c r="J14" s="12" t="s">
        <v>211</v>
      </c>
      <c r="K14" s="12" t="s">
        <v>181</v>
      </c>
      <c r="L14" s="12" t="s">
        <v>90</v>
      </c>
      <c r="M14" s="12"/>
      <c r="N14" s="12"/>
      <c r="O14" s="12" t="s">
        <v>131</v>
      </c>
      <c r="P14" s="13" t="s">
        <v>212</v>
      </c>
      <c r="Q14" s="13" t="s">
        <v>212</v>
      </c>
      <c r="R14" s="12" t="s">
        <v>213</v>
      </c>
      <c r="S14" s="12" t="s">
        <v>95</v>
      </c>
      <c r="T14" s="12" t="s">
        <v>205</v>
      </c>
      <c r="U14" s="13" t="s">
        <v>195</v>
      </c>
      <c r="V14" s="12" t="s">
        <v>214</v>
      </c>
    </row>
    <row r="15" customFormat="false" ht="23.85" hidden="false" customHeight="false" outlineLevel="0" collapsed="false">
      <c r="A15" s="16" t="s">
        <v>215</v>
      </c>
      <c r="B15" s="16" t="s">
        <v>216</v>
      </c>
      <c r="C15" s="16" t="s">
        <v>217</v>
      </c>
      <c r="D15" s="16" t="s">
        <v>83</v>
      </c>
      <c r="E15" s="16" t="s">
        <v>218</v>
      </c>
      <c r="F15" s="16" t="s">
        <v>85</v>
      </c>
      <c r="G15" s="16" t="s">
        <v>219</v>
      </c>
      <c r="H15" s="16" t="s">
        <v>220</v>
      </c>
      <c r="I15" s="16" t="s">
        <v>221</v>
      </c>
      <c r="J15" s="16" t="s">
        <v>222</v>
      </c>
      <c r="K15" s="16" t="s">
        <v>223</v>
      </c>
      <c r="L15" s="16" t="s">
        <v>224</v>
      </c>
      <c r="M15" s="16"/>
      <c r="N15" s="16"/>
      <c r="O15" s="16" t="s">
        <v>131</v>
      </c>
      <c r="P15" s="17" t="s">
        <v>225</v>
      </c>
      <c r="Q15" s="17" t="s">
        <v>225</v>
      </c>
      <c r="R15" s="16" t="s">
        <v>226</v>
      </c>
      <c r="S15" s="16" t="s">
        <v>95</v>
      </c>
      <c r="T15" s="16" t="s">
        <v>205</v>
      </c>
      <c r="U15" s="17" t="s">
        <v>227</v>
      </c>
      <c r="V15" s="16" t="s">
        <v>228</v>
      </c>
    </row>
    <row r="16" customFormat="false" ht="35.05" hidden="false" customHeight="false" outlineLevel="0" collapsed="false">
      <c r="A16" s="12" t="s">
        <v>229</v>
      </c>
      <c r="B16" s="12" t="s">
        <v>230</v>
      </c>
      <c r="C16" s="12" t="s">
        <v>82</v>
      </c>
      <c r="D16" s="12" t="s">
        <v>231</v>
      </c>
      <c r="E16" s="12" t="s">
        <v>232</v>
      </c>
      <c r="F16" s="12" t="s">
        <v>233</v>
      </c>
      <c r="G16" s="12" t="s">
        <v>234</v>
      </c>
      <c r="H16" s="12" t="s">
        <v>235</v>
      </c>
      <c r="I16" s="12" t="s">
        <v>88</v>
      </c>
      <c r="J16" s="12" t="s">
        <v>236</v>
      </c>
      <c r="K16" s="12" t="s">
        <v>237</v>
      </c>
      <c r="L16" s="12" t="s">
        <v>90</v>
      </c>
      <c r="M16" s="12" t="n">
        <v>40.133909</v>
      </c>
      <c r="N16" s="12" t="n">
        <v>-75.517265</v>
      </c>
      <c r="O16" s="12" t="s">
        <v>91</v>
      </c>
      <c r="P16" s="13" t="s">
        <v>238</v>
      </c>
      <c r="Q16" s="13" t="s">
        <v>238</v>
      </c>
      <c r="R16" s="12" t="s">
        <v>239</v>
      </c>
      <c r="S16" s="12" t="s">
        <v>95</v>
      </c>
      <c r="T16" s="12" t="s">
        <v>96</v>
      </c>
      <c r="U16" s="13" t="s">
        <v>184</v>
      </c>
      <c r="V16" s="12"/>
    </row>
    <row r="17" customFormat="false" ht="35.05" hidden="false" customHeight="false" outlineLevel="0" collapsed="false">
      <c r="A17" s="12" t="s">
        <v>240</v>
      </c>
      <c r="B17" s="12" t="s">
        <v>241</v>
      </c>
      <c r="C17" s="12" t="s">
        <v>82</v>
      </c>
      <c r="D17" s="12" t="s">
        <v>242</v>
      </c>
      <c r="E17" s="12" t="s">
        <v>243</v>
      </c>
      <c r="F17" s="12" t="s">
        <v>85</v>
      </c>
      <c r="G17" s="12" t="s">
        <v>244</v>
      </c>
      <c r="H17" s="12" t="s">
        <v>245</v>
      </c>
      <c r="I17" s="12" t="s">
        <v>88</v>
      </c>
      <c r="J17" s="12" t="s">
        <v>246</v>
      </c>
      <c r="K17" s="12" t="s">
        <v>202</v>
      </c>
      <c r="L17" s="12" t="s">
        <v>90</v>
      </c>
      <c r="M17" s="12"/>
      <c r="N17" s="12"/>
      <c r="O17" s="12" t="s">
        <v>131</v>
      </c>
      <c r="P17" s="13" t="s">
        <v>247</v>
      </c>
      <c r="Q17" s="13" t="s">
        <v>247</v>
      </c>
      <c r="R17" s="12" t="s">
        <v>248</v>
      </c>
      <c r="S17" s="12" t="s">
        <v>95</v>
      </c>
      <c r="T17" s="12" t="s">
        <v>96</v>
      </c>
      <c r="U17" s="13" t="s">
        <v>249</v>
      </c>
      <c r="V17" s="12" t="s">
        <v>250</v>
      </c>
    </row>
    <row r="18" customFormat="false" ht="23.85" hidden="false" customHeight="false" outlineLevel="0" collapsed="false">
      <c r="A18" s="12" t="s">
        <v>251</v>
      </c>
      <c r="B18" s="12" t="s">
        <v>252</v>
      </c>
      <c r="C18" s="12" t="s">
        <v>82</v>
      </c>
      <c r="D18" s="12" t="s">
        <v>253</v>
      </c>
      <c r="E18" s="12" t="s">
        <v>254</v>
      </c>
      <c r="F18" s="12" t="s">
        <v>255</v>
      </c>
      <c r="G18" s="12" t="s">
        <v>256</v>
      </c>
      <c r="H18" s="12" t="s">
        <v>257</v>
      </c>
      <c r="I18" s="12" t="s">
        <v>88</v>
      </c>
      <c r="J18" s="12" t="s">
        <v>258</v>
      </c>
      <c r="K18" s="12" t="s">
        <v>181</v>
      </c>
      <c r="L18" s="12" t="s">
        <v>90</v>
      </c>
      <c r="M18" s="12"/>
      <c r="N18" s="12"/>
      <c r="O18" s="12" t="s">
        <v>131</v>
      </c>
      <c r="P18" s="13" t="s">
        <v>259</v>
      </c>
      <c r="Q18" s="13" t="s">
        <v>259</v>
      </c>
      <c r="R18" s="12" t="s">
        <v>260</v>
      </c>
      <c r="S18" s="12" t="s">
        <v>95</v>
      </c>
      <c r="T18" s="12" t="s">
        <v>96</v>
      </c>
      <c r="U18" s="13" t="s">
        <v>123</v>
      </c>
      <c r="V18" s="12" t="s">
        <v>261</v>
      </c>
    </row>
    <row r="19" customFormat="false" ht="23.85" hidden="false" customHeight="false" outlineLevel="0" collapsed="false">
      <c r="A19" s="14" t="s">
        <v>262</v>
      </c>
      <c r="B19" s="14" t="s">
        <v>263</v>
      </c>
      <c r="C19" s="14" t="s">
        <v>115</v>
      </c>
      <c r="D19" s="14" t="s">
        <v>264</v>
      </c>
      <c r="E19" s="14" t="s">
        <v>265</v>
      </c>
      <c r="F19" s="14" t="s">
        <v>266</v>
      </c>
      <c r="G19" s="14" t="s">
        <v>267</v>
      </c>
      <c r="H19" s="14" t="s">
        <v>268</v>
      </c>
      <c r="I19" s="14" t="s">
        <v>88</v>
      </c>
      <c r="J19" s="14" t="s">
        <v>269</v>
      </c>
      <c r="K19" s="14" t="s">
        <v>181</v>
      </c>
      <c r="L19" s="14" t="s">
        <v>90</v>
      </c>
      <c r="M19" s="14"/>
      <c r="N19" s="14"/>
      <c r="O19" s="14" t="s">
        <v>131</v>
      </c>
      <c r="P19" s="14"/>
      <c r="Q19" s="14"/>
      <c r="R19" s="14" t="s">
        <v>270</v>
      </c>
      <c r="S19" s="14" t="s">
        <v>95</v>
      </c>
      <c r="T19" s="14" t="s">
        <v>96</v>
      </c>
      <c r="U19" s="15" t="s">
        <v>123</v>
      </c>
      <c r="V19" s="14" t="s">
        <v>271</v>
      </c>
    </row>
    <row r="20" customFormat="false" ht="35.05" hidden="false" customHeight="false" outlineLevel="0" collapsed="false">
      <c r="A20" s="12" t="s">
        <v>272</v>
      </c>
      <c r="B20" s="12" t="s">
        <v>273</v>
      </c>
      <c r="C20" s="12" t="s">
        <v>82</v>
      </c>
      <c r="D20" s="12" t="s">
        <v>274</v>
      </c>
      <c r="E20" s="12" t="s">
        <v>275</v>
      </c>
      <c r="F20" s="12" t="s">
        <v>276</v>
      </c>
      <c r="G20" s="12" t="s">
        <v>277</v>
      </c>
      <c r="H20" s="12" t="s">
        <v>278</v>
      </c>
      <c r="I20" s="12" t="s">
        <v>88</v>
      </c>
      <c r="J20" s="12" t="s">
        <v>279</v>
      </c>
      <c r="K20" s="12" t="s">
        <v>280</v>
      </c>
      <c r="L20" s="12" t="s">
        <v>90</v>
      </c>
      <c r="M20" s="12"/>
      <c r="N20" s="12"/>
      <c r="O20" s="12" t="s">
        <v>131</v>
      </c>
      <c r="P20" s="13" t="s">
        <v>281</v>
      </c>
      <c r="Q20" s="12" t="s">
        <v>282</v>
      </c>
      <c r="R20" s="12" t="s">
        <v>283</v>
      </c>
      <c r="S20" s="12" t="s">
        <v>284</v>
      </c>
      <c r="T20" s="12" t="s">
        <v>285</v>
      </c>
      <c r="U20" s="13" t="s">
        <v>281</v>
      </c>
      <c r="V20" s="12"/>
    </row>
    <row r="21" customFormat="false" ht="15.75" hidden="false" customHeight="true" outlineLevel="0" collapsed="false">
      <c r="A21" s="12" t="s">
        <v>286</v>
      </c>
      <c r="B21" s="12" t="s">
        <v>287</v>
      </c>
      <c r="C21" s="12" t="s">
        <v>82</v>
      </c>
      <c r="D21" s="12" t="s">
        <v>83</v>
      </c>
      <c r="E21" s="12" t="s">
        <v>288</v>
      </c>
      <c r="F21" s="12" t="s">
        <v>85</v>
      </c>
      <c r="G21" s="12" t="s">
        <v>289</v>
      </c>
      <c r="H21" s="12" t="s">
        <v>290</v>
      </c>
      <c r="I21" s="12" t="s">
        <v>291</v>
      </c>
      <c r="J21" s="12" t="s">
        <v>292</v>
      </c>
      <c r="K21" s="12" t="s">
        <v>293</v>
      </c>
      <c r="L21" s="12" t="s">
        <v>90</v>
      </c>
      <c r="M21" s="12"/>
      <c r="N21" s="12"/>
      <c r="O21" s="12" t="s">
        <v>131</v>
      </c>
      <c r="P21" s="13" t="s">
        <v>294</v>
      </c>
      <c r="Q21" s="13" t="s">
        <v>294</v>
      </c>
      <c r="R21" s="12" t="s">
        <v>295</v>
      </c>
      <c r="S21" s="12" t="s">
        <v>95</v>
      </c>
      <c r="T21" s="12" t="s">
        <v>296</v>
      </c>
      <c r="U21" s="13" t="s">
        <v>297</v>
      </c>
      <c r="V21" s="12" t="s">
        <v>298</v>
      </c>
    </row>
    <row r="22" customFormat="false" ht="15.75" hidden="false" customHeight="true" outlineLevel="0" collapsed="false">
      <c r="A22" s="14" t="s">
        <v>299</v>
      </c>
      <c r="B22" s="14" t="s">
        <v>300</v>
      </c>
      <c r="C22" s="14" t="s">
        <v>115</v>
      </c>
      <c r="D22" s="14" t="s">
        <v>264</v>
      </c>
      <c r="E22" s="14" t="s">
        <v>265</v>
      </c>
      <c r="F22" s="14" t="s">
        <v>266</v>
      </c>
      <c r="G22" s="14" t="s">
        <v>301</v>
      </c>
      <c r="H22" s="14" t="s">
        <v>290</v>
      </c>
      <c r="I22" s="14" t="s">
        <v>291</v>
      </c>
      <c r="J22" s="14" t="s">
        <v>292</v>
      </c>
      <c r="K22" s="14" t="s">
        <v>293</v>
      </c>
      <c r="L22" s="14" t="s">
        <v>90</v>
      </c>
      <c r="M22" s="14"/>
      <c r="N22" s="14"/>
      <c r="O22" s="14" t="s">
        <v>131</v>
      </c>
      <c r="P22" s="14"/>
      <c r="Q22" s="14"/>
      <c r="R22" s="14" t="s">
        <v>302</v>
      </c>
      <c r="S22" s="14" t="s">
        <v>95</v>
      </c>
      <c r="T22" s="14" t="s">
        <v>303</v>
      </c>
      <c r="U22" s="15" t="s">
        <v>304</v>
      </c>
      <c r="V22" s="14" t="s">
        <v>305</v>
      </c>
    </row>
    <row r="23" customFormat="false" ht="15.75" hidden="false" customHeight="true" outlineLevel="0" collapsed="false">
      <c r="A23" s="14" t="s">
        <v>306</v>
      </c>
      <c r="B23" s="14" t="s">
        <v>307</v>
      </c>
      <c r="C23" s="14" t="s">
        <v>308</v>
      </c>
      <c r="D23" s="14" t="s">
        <v>309</v>
      </c>
      <c r="E23" s="14" t="s">
        <v>310</v>
      </c>
      <c r="F23" s="14" t="s">
        <v>310</v>
      </c>
      <c r="G23" s="14" t="s">
        <v>311</v>
      </c>
      <c r="H23" s="14" t="s">
        <v>290</v>
      </c>
      <c r="I23" s="14" t="s">
        <v>291</v>
      </c>
      <c r="J23" s="14" t="s">
        <v>292</v>
      </c>
      <c r="K23" s="14" t="s">
        <v>293</v>
      </c>
      <c r="L23" s="14" t="s">
        <v>90</v>
      </c>
      <c r="M23" s="14"/>
      <c r="N23" s="14"/>
      <c r="O23" s="14" t="s">
        <v>131</v>
      </c>
      <c r="P23" s="14"/>
      <c r="Q23" s="14"/>
      <c r="R23" s="14" t="s">
        <v>312</v>
      </c>
      <c r="S23" s="14" t="s">
        <v>313</v>
      </c>
      <c r="T23" s="14" t="s">
        <v>314</v>
      </c>
      <c r="U23" s="15" t="s">
        <v>315</v>
      </c>
      <c r="V23" s="14" t="s">
        <v>316</v>
      </c>
    </row>
    <row r="24" customFormat="false" ht="15.75" hidden="false" customHeight="true" outlineLevel="0" collapsed="false">
      <c r="A24" s="16" t="s">
        <v>317</v>
      </c>
      <c r="B24" s="16" t="s">
        <v>318</v>
      </c>
      <c r="C24" s="16" t="s">
        <v>217</v>
      </c>
      <c r="D24" s="16" t="s">
        <v>319</v>
      </c>
      <c r="E24" s="16" t="s">
        <v>139</v>
      </c>
      <c r="F24" s="16" t="s">
        <v>320</v>
      </c>
      <c r="G24" s="16" t="s">
        <v>321</v>
      </c>
      <c r="H24" s="16" t="s">
        <v>322</v>
      </c>
      <c r="I24" s="16" t="s">
        <v>221</v>
      </c>
      <c r="J24" s="16"/>
      <c r="K24" s="16" t="s">
        <v>323</v>
      </c>
      <c r="L24" s="16" t="s">
        <v>224</v>
      </c>
      <c r="M24" s="16"/>
      <c r="N24" s="16"/>
      <c r="O24" s="16" t="s">
        <v>131</v>
      </c>
      <c r="P24" s="17" t="s">
        <v>324</v>
      </c>
      <c r="Q24" s="17" t="s">
        <v>324</v>
      </c>
      <c r="R24" s="16" t="s">
        <v>325</v>
      </c>
      <c r="S24" s="16" t="s">
        <v>326</v>
      </c>
      <c r="T24" s="16" t="s">
        <v>96</v>
      </c>
      <c r="U24" s="17" t="s">
        <v>327</v>
      </c>
      <c r="V24" s="16" t="s">
        <v>328</v>
      </c>
    </row>
    <row r="25" customFormat="false" ht="15.75" hidden="false" customHeight="true" outlineLevel="0" collapsed="false">
      <c r="A25" s="16" t="s">
        <v>329</v>
      </c>
      <c r="B25" s="16" t="s">
        <v>330</v>
      </c>
      <c r="C25" s="16" t="s">
        <v>217</v>
      </c>
      <c r="D25" s="16" t="s">
        <v>319</v>
      </c>
      <c r="E25" s="16" t="s">
        <v>331</v>
      </c>
      <c r="F25" s="16" t="s">
        <v>320</v>
      </c>
      <c r="G25" s="16" t="s">
        <v>332</v>
      </c>
      <c r="H25" s="16" t="s">
        <v>333</v>
      </c>
      <c r="I25" s="16" t="s">
        <v>88</v>
      </c>
      <c r="J25" s="16"/>
      <c r="K25" s="16" t="s">
        <v>334</v>
      </c>
      <c r="L25" s="16" t="s">
        <v>224</v>
      </c>
      <c r="M25" s="16" t="n">
        <v>40.6450306</v>
      </c>
      <c r="N25" s="16" t="n">
        <v>-75.5945333</v>
      </c>
      <c r="O25" s="16" t="s">
        <v>335</v>
      </c>
      <c r="P25" s="17" t="s">
        <v>336</v>
      </c>
      <c r="Q25" s="17" t="s">
        <v>336</v>
      </c>
      <c r="R25" s="16" t="s">
        <v>337</v>
      </c>
      <c r="S25" s="16" t="s">
        <v>338</v>
      </c>
      <c r="T25" s="16" t="s">
        <v>96</v>
      </c>
      <c r="U25" s="17" t="s">
        <v>336</v>
      </c>
      <c r="V25" s="16" t="s">
        <v>339</v>
      </c>
    </row>
    <row r="26" customFormat="false" ht="15.75" hidden="false" customHeight="true" outlineLevel="0" collapsed="false">
      <c r="A26" s="16" t="s">
        <v>340</v>
      </c>
      <c r="B26" s="16" t="s">
        <v>341</v>
      </c>
      <c r="C26" s="16" t="s">
        <v>217</v>
      </c>
      <c r="D26" s="16" t="s">
        <v>319</v>
      </c>
      <c r="E26" s="16" t="s">
        <v>139</v>
      </c>
      <c r="F26" s="16" t="s">
        <v>320</v>
      </c>
      <c r="G26" s="16" t="s">
        <v>342</v>
      </c>
      <c r="H26" s="16" t="s">
        <v>343</v>
      </c>
      <c r="I26" s="16" t="s">
        <v>88</v>
      </c>
      <c r="J26" s="16" t="s">
        <v>344</v>
      </c>
      <c r="K26" s="16" t="s">
        <v>345</v>
      </c>
      <c r="L26" s="16" t="s">
        <v>224</v>
      </c>
      <c r="M26" s="16"/>
      <c r="N26" s="16"/>
      <c r="O26" s="16" t="s">
        <v>131</v>
      </c>
      <c r="P26" s="17" t="s">
        <v>346</v>
      </c>
      <c r="Q26" s="17" t="s">
        <v>346</v>
      </c>
      <c r="R26" s="16" t="s">
        <v>347</v>
      </c>
      <c r="S26" s="16" t="s">
        <v>348</v>
      </c>
      <c r="T26" s="16" t="s">
        <v>96</v>
      </c>
      <c r="U26" s="17" t="s">
        <v>349</v>
      </c>
      <c r="V26" s="16" t="s">
        <v>350</v>
      </c>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V26"/>
  <hyperlinks>
    <hyperlink ref="P2" r:id="rId1" display="https://filmadelphia.org/about/venues/film-society-center/"/>
    <hyperlink ref="Q2" r:id="rId2" display="https://filmadelphia.org/showtimes-calendar-view/"/>
    <hyperlink ref="U2" r:id="rId3" display="https://filmadelphia.org/about/venues/film-society-center/"/>
    <hyperlink ref="P3" r:id="rId4" display="https://filmadelphia.org/about/venues/film-society-bourse/"/>
    <hyperlink ref="Q3" r:id="rId5" display="https://filmadelphia.org/showtimes-calendar-view/"/>
    <hyperlink ref="U3" r:id="rId6" display="https://filmadelphia.org/"/>
    <hyperlink ref="P4" r:id="rId7" display="https://filmadelphia.org/about/venues/film-society-east/"/>
    <hyperlink ref="Q4" r:id="rId8" display="https://filmadelphia.org/showtimes-calendar-view/"/>
    <hyperlink ref="U4" r:id="rId9" display="https://cinematreasures.org/theaters/14780"/>
    <hyperlink ref="P5" r:id="rId10" display="https://www.landmarktheatres.com/philadelphia/ritz-five"/>
    <hyperlink ref="Q5" r:id="rId11" display="https://www.landmarktheatres.com/philadelphia/ritz-five"/>
    <hyperlink ref="U5" r:id="rId12" display="https://billypenn.com/2026/09/10/movie-theaters-philly/"/>
    <hyperlink ref="P6" r:id="rId13" display="https://www.lightboxfilmcenter.org/"/>
    <hyperlink ref="Q6" r:id="rId14" display="https://events.ticketleap.com/events/lightbox-film-center (dated listings; JS-rendered and may return nothing to a fetch). Program descriptions: https://www.lightboxfilmcenter.org/"/>
    <hyperlink ref="U6" r:id="rId15" display="https://www.lightboxfilmcenter.org/"/>
    <hyperlink ref="P7" r:id="rId16" display="https://www.philamoca.org/"/>
    <hyperlink ref="Q7" r:id="rId17" display="https://www.philamoca.org/ (tickets frequently via DICE)"/>
    <hyperlink ref="U7" r:id="rId18" display="https://www.philamoca.org/"/>
    <hyperlink ref="P8" r:id="rId19" display="https://scribe.org/"/>
    <hyperlink ref="Q8" r:id="rId20" display="https://www.scribe.org/Screenings"/>
    <hyperlink ref="U8" r:id="rId21" display="https://www.scribe.org/Screenings"/>
    <hyperlink ref="P9" r:id="rId22" display="https://woodmeremuseum.org/happenings/film"/>
    <hyperlink ref="Q9" r:id="rId23" display="https://woodmeremuseum.org/happenings/film"/>
    <hyperlink ref="U9" r:id="rId24" display="https://woodmeremuseum.org/happenings/film"/>
    <hyperlink ref="P10" r:id="rId25" display="https://www.phlaff.org/los-news/peoples-cinema-club-los-news"/>
    <hyperlink ref="U10" r:id="rId26" display="https://www.phlaff.org/los-news/peoples-cinema-club-los-news"/>
    <hyperlink ref="P11" r:id="rId27" display="https://brynmawrfilm.org/"/>
    <hyperlink ref="Q11" r:id="rId28" display="https://brynmawrfilm.org/"/>
    <hyperlink ref="U11" r:id="rId29" display="https://www.poorstuart.com/philadelphia-movie-showtimes-citywide-by-arthouse/"/>
    <hyperlink ref="P12" r:id="rId30" display="https://www.amblertheater.org/"/>
    <hyperlink ref="Q12" r:id="rId31" display="https://www.amblertheater.org/"/>
    <hyperlink ref="U12" r:id="rId32" display="https://www.renewtheaters.org/"/>
    <hyperlink ref="P13" r:id="rId33" display="https://countytheater.org/"/>
    <hyperlink ref="Q13" r:id="rId34" display="https://countytheater.org/"/>
    <hyperlink ref="U13" r:id="rId35" display="https://www.renewtheaters.org/"/>
    <hyperlink ref="P14" r:id="rId36" display="https://www.hiwaytheater.org/"/>
    <hyperlink ref="Q14" r:id="rId37" display="https://www.hiwaytheater.org/"/>
    <hyperlink ref="U14" r:id="rId38" display="https://www.renewtheaters.org/"/>
    <hyperlink ref="P15" r:id="rId39" display="https://www.princetongardentheatre.org/"/>
    <hyperlink ref="Q15" r:id="rId40" display="https://www.princetongardentheatre.org/"/>
    <hyperlink ref="U15" r:id="rId41" display="https://en.wikipedia.org/wiki/Princeton_Garden_Theatre"/>
    <hyperlink ref="P16" r:id="rId42" display="https://thecolonialtheatre.com/"/>
    <hyperlink ref="Q16" r:id="rId43" display="https://thecolonialtheatre.com/"/>
    <hyperlink ref="U16" r:id="rId44" display="https://www.poorstuart.com/philadelphia-movie-showtimes-citywide-by-arthouse/"/>
    <hyperlink ref="P17" r:id="rId45" display="https://www.thenewtowntheatre.com/"/>
    <hyperlink ref="Q17" r:id="rId46" display="https://www.thenewtowntheatre.com/"/>
    <hyperlink ref="U17" r:id="rId47" display="https://en.wikipedia.org/wiki/Newtown_Theatre"/>
    <hyperlink ref="P18" r:id="rId48" display="https://www.reelcinemaspa.com/"/>
    <hyperlink ref="Q18" r:id="rId49" display="https://www.reelcinemaspa.com/"/>
    <hyperlink ref="U18" r:id="rId50" display="https://billypenn.com/2026/09/10/movie-theaters-philly/"/>
    <hyperlink ref="U19" r:id="rId51" display="https://billypenn.com/2026/09/10/movie-theaters-philly/"/>
    <hyperlink ref="P20" r:id="rId52" display="https://www1.villanova.edu/university/student-life/student-involvement/cultural-film-series.html"/>
    <hyperlink ref="U20" r:id="rId53" display="https://www1.villanova.edu/university/student-life/student-involvement/cultural-film-series.html"/>
    <hyperlink ref="P21" r:id="rId54" display="https://theatren.com/"/>
    <hyperlink ref="Q21" r:id="rId55" display="https://theatren.com/"/>
    <hyperlink ref="U21" r:id="rId56" display="https://delawarescene.com/organization/59/theatre-n"/>
    <hyperlink ref="U22" r:id="rId57" display="https://www.imdb.com/showtimes/cinema/US/ci1041599/US/19707/"/>
    <hyperlink ref="U23" r:id="rId58" display="https://wilmington.film/more-than-a-movie-festival/"/>
    <hyperlink ref="P24" r:id="rId59" display="https://delseadrive-in.com/"/>
    <hyperlink ref="Q24" r:id="rId60" display="https://delseadrive-in.com/"/>
    <hyperlink ref="U24" r:id="rId61" display="https://www.inquirer.com/philly-tips/drive-in-movie-theaters-philadelphia-20210525.html"/>
    <hyperlink ref="P25" r:id="rId62" display="https://www.shankweilers.com/"/>
    <hyperlink ref="Q25" r:id="rId63" display="https://www.shankweilers.com/"/>
    <hyperlink ref="U25" r:id="rId64" display="https://www.shankweilers.com/"/>
    <hyperlink ref="P26" r:id="rId65" display="https://mahoningdit.com/"/>
    <hyperlink ref="Q26" r:id="rId66" display="https://mahoningdit.com/"/>
    <hyperlink ref="U26" r:id="rId67" display="https://www.phillymag.com/best-of-philly-archive/mahoning-drive-in-movie-theat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4.43359375" defaultRowHeight="15" zeroHeight="false" outlineLevelRow="0" outlineLevelCol="0"/>
  <cols>
    <col collapsed="false" customWidth="true" hidden="false" outlineLevel="0" max="1" min="1" style="0" width="7"/>
    <col collapsed="false" customWidth="true" hidden="false" outlineLevel="0" max="2" min="2" style="0" width="40"/>
    <col collapsed="false" customWidth="true" hidden="false" outlineLevel="0" max="3" min="3" style="0" width="26"/>
    <col collapsed="false" customWidth="true" hidden="false" outlineLevel="0" max="4" min="4" style="0" width="22"/>
    <col collapsed="false" customWidth="true" hidden="false" outlineLevel="0" max="5" min="5" style="0" width="16"/>
    <col collapsed="false" customWidth="true" hidden="false" outlineLevel="0" max="6" min="6" style="0" width="44"/>
    <col collapsed="false" customWidth="true" hidden="false" outlineLevel="0" max="7" min="7" style="0" width="30"/>
    <col collapsed="false" customWidth="true" hidden="false" outlineLevel="0" max="8" min="8" style="0" width="40"/>
    <col collapsed="false" customWidth="true" hidden="false" outlineLevel="0" max="9" min="9" style="0" width="36"/>
    <col collapsed="false" customWidth="true" hidden="false" outlineLevel="0" max="26" min="10" style="0" width="8.71"/>
  </cols>
  <sheetData>
    <row r="1" customFormat="false" ht="31.5" hidden="false" customHeight="true" outlineLevel="0" collapsed="false">
      <c r="A1" s="11" t="s">
        <v>60</v>
      </c>
      <c r="B1" s="11" t="s">
        <v>351</v>
      </c>
      <c r="C1" s="11" t="s">
        <v>352</v>
      </c>
      <c r="D1" s="11" t="s">
        <v>66</v>
      </c>
      <c r="E1" s="11" t="s">
        <v>30</v>
      </c>
      <c r="F1" s="11" t="s">
        <v>353</v>
      </c>
      <c r="G1" s="11" t="s">
        <v>354</v>
      </c>
      <c r="H1" s="11" t="s">
        <v>355</v>
      </c>
      <c r="I1" s="11" t="s">
        <v>356</v>
      </c>
    </row>
    <row r="2" customFormat="false" ht="15" hidden="false" customHeight="false" outlineLevel="0" collapsed="false">
      <c r="A2" s="12" t="s">
        <v>357</v>
      </c>
      <c r="B2" s="12" t="s">
        <v>358</v>
      </c>
      <c r="C2" s="12" t="s">
        <v>359</v>
      </c>
      <c r="D2" s="12" t="s">
        <v>360</v>
      </c>
      <c r="E2" s="12" t="s">
        <v>96</v>
      </c>
      <c r="F2" s="12" t="s">
        <v>361</v>
      </c>
      <c r="G2" s="12" t="s">
        <v>362</v>
      </c>
      <c r="H2" s="13" t="s">
        <v>363</v>
      </c>
      <c r="I2" s="12"/>
    </row>
    <row r="3" customFormat="false" ht="23.85" hidden="false" customHeight="false" outlineLevel="0" collapsed="false">
      <c r="A3" s="12" t="s">
        <v>364</v>
      </c>
      <c r="B3" s="12" t="s">
        <v>365</v>
      </c>
      <c r="C3" s="12" t="s">
        <v>366</v>
      </c>
      <c r="D3" s="12" t="s">
        <v>367</v>
      </c>
      <c r="E3" s="12" t="s">
        <v>368</v>
      </c>
      <c r="F3" s="12" t="s">
        <v>369</v>
      </c>
      <c r="G3" s="12" t="s">
        <v>370</v>
      </c>
      <c r="H3" s="13" t="s">
        <v>371</v>
      </c>
      <c r="I3" s="12"/>
    </row>
    <row r="4" customFormat="false" ht="23.85" hidden="false" customHeight="false" outlineLevel="0" collapsed="false">
      <c r="A4" s="12" t="s">
        <v>372</v>
      </c>
      <c r="B4" s="12" t="s">
        <v>373</v>
      </c>
      <c r="C4" s="12" t="s">
        <v>366</v>
      </c>
      <c r="D4" s="12" t="s">
        <v>367</v>
      </c>
      <c r="E4" s="12" t="s">
        <v>368</v>
      </c>
      <c r="F4" s="12" t="s">
        <v>374</v>
      </c>
      <c r="G4" s="12" t="s">
        <v>375</v>
      </c>
      <c r="H4" s="13" t="s">
        <v>371</v>
      </c>
      <c r="I4" s="12"/>
    </row>
    <row r="5" customFormat="false" ht="15" hidden="false" customHeight="false" outlineLevel="0" collapsed="false">
      <c r="A5" s="12" t="s">
        <v>376</v>
      </c>
      <c r="B5" s="12" t="s">
        <v>377</v>
      </c>
      <c r="C5" s="12" t="s">
        <v>378</v>
      </c>
      <c r="D5" s="12" t="s">
        <v>379</v>
      </c>
      <c r="E5" s="12" t="s">
        <v>96</v>
      </c>
      <c r="F5" s="12" t="s">
        <v>380</v>
      </c>
      <c r="G5" s="12" t="s">
        <v>381</v>
      </c>
      <c r="H5" s="13" t="s">
        <v>382</v>
      </c>
      <c r="I5" s="12" t="s">
        <v>383</v>
      </c>
    </row>
    <row r="6" customFormat="false" ht="23.85" hidden="false" customHeight="false" outlineLevel="0" collapsed="false">
      <c r="A6" s="12" t="s">
        <v>384</v>
      </c>
      <c r="B6" s="12" t="s">
        <v>385</v>
      </c>
      <c r="C6" s="12" t="s">
        <v>386</v>
      </c>
      <c r="D6" s="12" t="s">
        <v>387</v>
      </c>
      <c r="E6" s="12" t="s">
        <v>96</v>
      </c>
      <c r="F6" s="12" t="s">
        <v>388</v>
      </c>
      <c r="G6" s="12" t="s">
        <v>389</v>
      </c>
      <c r="H6" s="13" t="s">
        <v>390</v>
      </c>
      <c r="I6" s="12"/>
    </row>
    <row r="7" customFormat="false" ht="15" hidden="false" customHeight="false" outlineLevel="0" collapsed="false">
      <c r="A7" s="12" t="s">
        <v>391</v>
      </c>
      <c r="B7" s="12" t="s">
        <v>392</v>
      </c>
      <c r="C7" s="12" t="s">
        <v>393</v>
      </c>
      <c r="D7" s="12" t="s">
        <v>394</v>
      </c>
      <c r="E7" s="12" t="s">
        <v>96</v>
      </c>
      <c r="F7" s="12" t="s">
        <v>395</v>
      </c>
      <c r="G7" s="12" t="s">
        <v>396</v>
      </c>
      <c r="H7" s="13" t="s">
        <v>390</v>
      </c>
      <c r="I7" s="12"/>
    </row>
    <row r="8" customFormat="false" ht="23.85" hidden="false" customHeight="false" outlineLevel="0" collapsed="false">
      <c r="A8" s="12" t="s">
        <v>397</v>
      </c>
      <c r="B8" s="12" t="s">
        <v>398</v>
      </c>
      <c r="C8" s="12" t="s">
        <v>399</v>
      </c>
      <c r="D8" s="12" t="s">
        <v>367</v>
      </c>
      <c r="E8" s="12" t="s">
        <v>368</v>
      </c>
      <c r="F8" s="12" t="s">
        <v>400</v>
      </c>
      <c r="G8" s="12" t="s">
        <v>401</v>
      </c>
      <c r="H8" s="13" t="s">
        <v>402</v>
      </c>
      <c r="I8" s="12" t="s">
        <v>403</v>
      </c>
    </row>
    <row r="9" customFormat="false" ht="23.85" hidden="false" customHeight="false" outlineLevel="0" collapsed="false">
      <c r="A9" s="12" t="s">
        <v>404</v>
      </c>
      <c r="B9" s="12" t="s">
        <v>405</v>
      </c>
      <c r="C9" s="12" t="s">
        <v>406</v>
      </c>
      <c r="D9" s="12" t="s">
        <v>367</v>
      </c>
      <c r="E9" s="12" t="s">
        <v>368</v>
      </c>
      <c r="F9" s="12" t="s">
        <v>407</v>
      </c>
      <c r="G9" s="12" t="s">
        <v>408</v>
      </c>
      <c r="H9" s="13" t="s">
        <v>409</v>
      </c>
      <c r="I9" s="12" t="s">
        <v>410</v>
      </c>
    </row>
    <row r="10" customFormat="false" ht="15" hidden="false" customHeight="false" outlineLevel="0" collapsed="false">
      <c r="A10" s="12" t="s">
        <v>411</v>
      </c>
      <c r="B10" s="12" t="s">
        <v>412</v>
      </c>
      <c r="C10" s="12" t="s">
        <v>413</v>
      </c>
      <c r="D10" s="12" t="s">
        <v>414</v>
      </c>
      <c r="E10" s="12" t="s">
        <v>96</v>
      </c>
      <c r="F10" s="12" t="s">
        <v>415</v>
      </c>
      <c r="G10" s="12" t="s">
        <v>396</v>
      </c>
      <c r="H10" s="13" t="s">
        <v>390</v>
      </c>
      <c r="I10" s="12"/>
    </row>
    <row r="11" customFormat="false" ht="15" hidden="false" customHeight="false" outlineLevel="0" collapsed="false">
      <c r="A11" s="12" t="s">
        <v>416</v>
      </c>
      <c r="B11" s="12" t="s">
        <v>417</v>
      </c>
      <c r="C11" s="12" t="s">
        <v>418</v>
      </c>
      <c r="D11" s="12" t="s">
        <v>367</v>
      </c>
      <c r="E11" s="12" t="s">
        <v>368</v>
      </c>
      <c r="F11" s="12" t="s">
        <v>419</v>
      </c>
      <c r="G11" s="12" t="s">
        <v>420</v>
      </c>
      <c r="H11" s="13" t="s">
        <v>421</v>
      </c>
      <c r="I11" s="12" t="s">
        <v>422</v>
      </c>
    </row>
    <row r="12" customFormat="false" ht="15" hidden="false" customHeight="false" outlineLevel="0" collapsed="false">
      <c r="A12" s="12" t="s">
        <v>423</v>
      </c>
      <c r="B12" s="12" t="s">
        <v>424</v>
      </c>
      <c r="C12" s="12" t="s">
        <v>425</v>
      </c>
      <c r="D12" s="12" t="s">
        <v>310</v>
      </c>
      <c r="E12" s="12" t="s">
        <v>368</v>
      </c>
      <c r="F12" s="12" t="s">
        <v>426</v>
      </c>
      <c r="G12" s="12" t="s">
        <v>427</v>
      </c>
      <c r="H12" s="13" t="s">
        <v>421</v>
      </c>
      <c r="I12" s="12"/>
    </row>
    <row r="13" customFormat="false" ht="15" hidden="false" customHeight="false" outlineLevel="0" collapsed="false">
      <c r="A13" s="12" t="s">
        <v>428</v>
      </c>
      <c r="B13" s="12" t="s">
        <v>429</v>
      </c>
      <c r="C13" s="12" t="s">
        <v>425</v>
      </c>
      <c r="D13" s="12" t="s">
        <v>310</v>
      </c>
      <c r="E13" s="12" t="s">
        <v>368</v>
      </c>
      <c r="F13" s="12" t="s">
        <v>430</v>
      </c>
      <c r="G13" s="12" t="s">
        <v>431</v>
      </c>
      <c r="H13" s="13" t="s">
        <v>421</v>
      </c>
      <c r="I13" s="12"/>
    </row>
    <row r="14" customFormat="false" ht="23.85" hidden="false" customHeight="false" outlineLevel="0" collapsed="false">
      <c r="A14" s="12" t="s">
        <v>432</v>
      </c>
      <c r="B14" s="12" t="s">
        <v>433</v>
      </c>
      <c r="C14" s="12" t="s">
        <v>434</v>
      </c>
      <c r="D14" s="12" t="s">
        <v>310</v>
      </c>
      <c r="E14" s="12" t="s">
        <v>368</v>
      </c>
      <c r="F14" s="12" t="s">
        <v>435</v>
      </c>
      <c r="G14" s="12" t="s">
        <v>436</v>
      </c>
      <c r="H14" s="13" t="s">
        <v>421</v>
      </c>
      <c r="I14" s="12"/>
    </row>
    <row r="15" customFormat="false" ht="15" hidden="false" customHeight="false" outlineLevel="0" collapsed="false">
      <c r="A15" s="12" t="s">
        <v>437</v>
      </c>
      <c r="B15" s="12" t="s">
        <v>438</v>
      </c>
      <c r="C15" s="12" t="s">
        <v>310</v>
      </c>
      <c r="D15" s="12" t="s">
        <v>310</v>
      </c>
      <c r="E15" s="12" t="s">
        <v>368</v>
      </c>
      <c r="F15" s="12" t="s">
        <v>439</v>
      </c>
      <c r="G15" s="12" t="s">
        <v>440</v>
      </c>
      <c r="H15" s="13" t="s">
        <v>421</v>
      </c>
      <c r="I15" s="12"/>
    </row>
    <row r="16" customFormat="false" ht="23.85" hidden="false" customHeight="false" outlineLevel="0" collapsed="false">
      <c r="A16" s="12" t="s">
        <v>441</v>
      </c>
      <c r="B16" s="12" t="s">
        <v>442</v>
      </c>
      <c r="C16" s="12" t="s">
        <v>443</v>
      </c>
      <c r="D16" s="12" t="s">
        <v>310</v>
      </c>
      <c r="E16" s="12" t="s">
        <v>368</v>
      </c>
      <c r="F16" s="12" t="s">
        <v>444</v>
      </c>
      <c r="G16" s="12" t="s">
        <v>445</v>
      </c>
      <c r="H16" s="13" t="s">
        <v>421</v>
      </c>
      <c r="I16" s="12"/>
    </row>
    <row r="17" customFormat="false" ht="15" hidden="false" customHeight="false" outlineLevel="0" collapsed="false">
      <c r="A17" s="12" t="s">
        <v>446</v>
      </c>
      <c r="B17" s="12" t="s">
        <v>447</v>
      </c>
      <c r="C17" s="12" t="s">
        <v>448</v>
      </c>
      <c r="D17" s="12" t="s">
        <v>310</v>
      </c>
      <c r="E17" s="12" t="s">
        <v>368</v>
      </c>
      <c r="F17" s="12" t="s">
        <v>449</v>
      </c>
      <c r="G17" s="12" t="s">
        <v>450</v>
      </c>
      <c r="H17" s="13" t="s">
        <v>421</v>
      </c>
      <c r="I17" s="12"/>
    </row>
    <row r="18" customFormat="false" ht="15" hidden="false" customHeight="false" outlineLevel="0" collapsed="false">
      <c r="A18" s="12" t="s">
        <v>451</v>
      </c>
      <c r="B18" s="12" t="s">
        <v>452</v>
      </c>
      <c r="C18" s="12" t="s">
        <v>310</v>
      </c>
      <c r="D18" s="12" t="s">
        <v>310</v>
      </c>
      <c r="E18" s="12" t="s">
        <v>368</v>
      </c>
      <c r="F18" s="12" t="s">
        <v>453</v>
      </c>
      <c r="G18" s="12" t="s">
        <v>454</v>
      </c>
      <c r="H18" s="13" t="s">
        <v>455</v>
      </c>
      <c r="I18" s="12"/>
    </row>
    <row r="19" customFormat="false" ht="15" hidden="false" customHeight="false" outlineLevel="0" collapsed="false">
      <c r="A19" s="12" t="s">
        <v>456</v>
      </c>
      <c r="B19" s="12" t="s">
        <v>457</v>
      </c>
      <c r="C19" s="12" t="s">
        <v>310</v>
      </c>
      <c r="D19" s="12" t="s">
        <v>310</v>
      </c>
      <c r="E19" s="12" t="s">
        <v>368</v>
      </c>
      <c r="F19" s="12" t="s">
        <v>453</v>
      </c>
      <c r="G19" s="12" t="s">
        <v>454</v>
      </c>
      <c r="H19" s="13" t="s">
        <v>455</v>
      </c>
      <c r="I19" s="12"/>
    </row>
    <row r="20" customFormat="false" ht="23.85" hidden="false" customHeight="false" outlineLevel="0" collapsed="false">
      <c r="A20" s="12" t="s">
        <v>458</v>
      </c>
      <c r="B20" s="12" t="s">
        <v>459</v>
      </c>
      <c r="C20" s="12" t="s">
        <v>460</v>
      </c>
      <c r="D20" s="12" t="s">
        <v>461</v>
      </c>
      <c r="E20" s="12" t="s">
        <v>368</v>
      </c>
      <c r="F20" s="12" t="s">
        <v>462</v>
      </c>
      <c r="G20" s="12" t="s">
        <v>454</v>
      </c>
      <c r="H20" s="13" t="s">
        <v>463</v>
      </c>
      <c r="I20" s="12" t="s">
        <v>464</v>
      </c>
    </row>
    <row r="21" customFormat="false" ht="15.75" hidden="false" customHeight="true" outlineLevel="0" collapsed="false">
      <c r="A21" s="12" t="s">
        <v>465</v>
      </c>
      <c r="B21" s="12" t="s">
        <v>466</v>
      </c>
      <c r="C21" s="12" t="s">
        <v>467</v>
      </c>
      <c r="D21" s="12" t="s">
        <v>367</v>
      </c>
      <c r="E21" s="12" t="s">
        <v>368</v>
      </c>
      <c r="F21" s="12" t="s">
        <v>468</v>
      </c>
      <c r="G21" s="12" t="s">
        <v>469</v>
      </c>
      <c r="H21" s="13" t="s">
        <v>470</v>
      </c>
      <c r="I21" s="12"/>
    </row>
    <row r="22" customFormat="false" ht="15.75" hidden="false" customHeight="true" outlineLevel="0" collapsed="false">
      <c r="A22" s="12" t="s">
        <v>471</v>
      </c>
      <c r="B22" s="12" t="s">
        <v>472</v>
      </c>
      <c r="C22" s="12" t="s">
        <v>310</v>
      </c>
      <c r="D22" s="12" t="s">
        <v>310</v>
      </c>
      <c r="E22" s="12" t="s">
        <v>368</v>
      </c>
      <c r="F22" s="12" t="s">
        <v>473</v>
      </c>
      <c r="G22" s="12" t="s">
        <v>310</v>
      </c>
      <c r="H22" s="13" t="s">
        <v>470</v>
      </c>
      <c r="I22" s="12"/>
    </row>
    <row r="23" customFormat="false" ht="15.75" hidden="false" customHeight="true" outlineLevel="0" collapsed="false">
      <c r="A23" s="12" t="s">
        <v>474</v>
      </c>
      <c r="B23" s="12" t="s">
        <v>475</v>
      </c>
      <c r="C23" s="12" t="s">
        <v>310</v>
      </c>
      <c r="D23" s="12" t="s">
        <v>476</v>
      </c>
      <c r="E23" s="12" t="s">
        <v>477</v>
      </c>
      <c r="F23" s="12" t="s">
        <v>478</v>
      </c>
      <c r="G23" s="12" t="s">
        <v>479</v>
      </c>
      <c r="H23" s="13" t="s">
        <v>480</v>
      </c>
      <c r="I23" s="12" t="s">
        <v>481</v>
      </c>
    </row>
    <row r="24" customFormat="false" ht="15.75" hidden="false" customHeight="true" outlineLevel="0" collapsed="false">
      <c r="A24" s="12" t="s">
        <v>482</v>
      </c>
      <c r="B24" s="12" t="s">
        <v>483</v>
      </c>
      <c r="C24" s="12" t="s">
        <v>484</v>
      </c>
      <c r="D24" s="12" t="s">
        <v>310</v>
      </c>
      <c r="E24" s="12" t="s">
        <v>368</v>
      </c>
      <c r="F24" s="12" t="s">
        <v>485</v>
      </c>
      <c r="G24" s="12" t="s">
        <v>483</v>
      </c>
      <c r="H24" s="13" t="s">
        <v>470</v>
      </c>
      <c r="I24" s="12"/>
    </row>
    <row r="25" customFormat="false" ht="15.75" hidden="false" customHeight="true" outlineLevel="0" collapsed="false">
      <c r="A25" s="12" t="s">
        <v>486</v>
      </c>
      <c r="B25" s="12" t="s">
        <v>487</v>
      </c>
      <c r="C25" s="12" t="s">
        <v>488</v>
      </c>
      <c r="D25" s="12" t="s">
        <v>310</v>
      </c>
      <c r="E25" s="12" t="s">
        <v>368</v>
      </c>
      <c r="F25" s="12" t="s">
        <v>489</v>
      </c>
      <c r="G25" s="12" t="s">
        <v>490</v>
      </c>
      <c r="H25" s="13" t="s">
        <v>491</v>
      </c>
      <c r="I25" s="12" t="s">
        <v>492</v>
      </c>
    </row>
    <row r="26" customFormat="false" ht="15.75" hidden="false" customHeight="true" outlineLevel="0" collapsed="false">
      <c r="A26" s="12" t="s">
        <v>493</v>
      </c>
      <c r="B26" s="12" t="s">
        <v>494</v>
      </c>
      <c r="C26" s="12" t="s">
        <v>495</v>
      </c>
      <c r="D26" s="12" t="s">
        <v>496</v>
      </c>
      <c r="E26" s="12" t="s">
        <v>96</v>
      </c>
      <c r="F26" s="12" t="s">
        <v>497</v>
      </c>
      <c r="G26" s="12" t="s">
        <v>498</v>
      </c>
      <c r="H26" s="13" t="s">
        <v>315</v>
      </c>
      <c r="I26" s="12"/>
    </row>
    <row r="27" customFormat="false" ht="15.75" hidden="false" customHeight="true" outlineLevel="0" collapsed="false">
      <c r="A27" s="12" t="s">
        <v>499</v>
      </c>
      <c r="B27" s="12" t="s">
        <v>500</v>
      </c>
      <c r="C27" s="12" t="s">
        <v>501</v>
      </c>
      <c r="D27" s="12" t="s">
        <v>502</v>
      </c>
      <c r="E27" s="12" t="s">
        <v>96</v>
      </c>
      <c r="F27" s="12" t="s">
        <v>503</v>
      </c>
      <c r="G27" s="12" t="s">
        <v>504</v>
      </c>
      <c r="H27" s="13" t="s">
        <v>505</v>
      </c>
      <c r="I27" s="12" t="s">
        <v>506</v>
      </c>
    </row>
    <row r="28" customFormat="false" ht="15.75" hidden="false" customHeight="true" outlineLevel="0" collapsed="false">
      <c r="A28" s="12" t="s">
        <v>507</v>
      </c>
      <c r="B28" s="12" t="s">
        <v>508</v>
      </c>
      <c r="C28" s="12" t="s">
        <v>393</v>
      </c>
      <c r="D28" s="12" t="s">
        <v>509</v>
      </c>
      <c r="E28" s="12" t="s">
        <v>96</v>
      </c>
      <c r="F28" s="12" t="s">
        <v>510</v>
      </c>
      <c r="G28" s="12" t="s">
        <v>454</v>
      </c>
      <c r="H28" s="13" t="s">
        <v>511</v>
      </c>
      <c r="I28" s="12" t="s">
        <v>512</v>
      </c>
    </row>
    <row r="29" customFormat="false" ht="15.75" hidden="false" customHeight="true" outlineLevel="0" collapsed="false">
      <c r="A29" s="12" t="s">
        <v>513</v>
      </c>
      <c r="B29" s="12" t="s">
        <v>514</v>
      </c>
      <c r="C29" s="12" t="s">
        <v>393</v>
      </c>
      <c r="D29" s="12" t="s">
        <v>515</v>
      </c>
      <c r="E29" s="12" t="s">
        <v>96</v>
      </c>
      <c r="F29" s="12" t="s">
        <v>516</v>
      </c>
      <c r="G29" s="12" t="s">
        <v>517</v>
      </c>
      <c r="H29" s="13" t="s">
        <v>511</v>
      </c>
      <c r="I29" s="12" t="s">
        <v>518</v>
      </c>
    </row>
    <row r="30" customFormat="false" ht="15.75" hidden="false" customHeight="true" outlineLevel="0" collapsed="false">
      <c r="A30" s="12" t="s">
        <v>519</v>
      </c>
      <c r="B30" s="12" t="s">
        <v>520</v>
      </c>
      <c r="C30" s="12" t="s">
        <v>393</v>
      </c>
      <c r="D30" s="12" t="s">
        <v>521</v>
      </c>
      <c r="E30" s="12" t="s">
        <v>96</v>
      </c>
      <c r="F30" s="12" t="s">
        <v>522</v>
      </c>
      <c r="G30" s="12" t="s">
        <v>523</v>
      </c>
      <c r="H30" s="13" t="s">
        <v>524</v>
      </c>
      <c r="I30" s="12" t="s">
        <v>525</v>
      </c>
    </row>
    <row r="31" customFormat="false" ht="15.75" hidden="false" customHeight="true" outlineLevel="0" collapsed="false">
      <c r="A31" s="12" t="s">
        <v>526</v>
      </c>
      <c r="B31" s="12" t="s">
        <v>527</v>
      </c>
      <c r="C31" s="12" t="s">
        <v>359</v>
      </c>
      <c r="D31" s="12" t="s">
        <v>528</v>
      </c>
      <c r="E31" s="12" t="s">
        <v>96</v>
      </c>
      <c r="F31" s="12" t="s">
        <v>529</v>
      </c>
      <c r="G31" s="12" t="s">
        <v>530</v>
      </c>
      <c r="H31" s="13" t="s">
        <v>531</v>
      </c>
      <c r="I31" s="12"/>
    </row>
    <row r="32" customFormat="false" ht="15.75" hidden="false" customHeight="true" outlineLevel="0" collapsed="false">
      <c r="A32" s="12" t="s">
        <v>532</v>
      </c>
      <c r="B32" s="12" t="s">
        <v>466</v>
      </c>
      <c r="C32" s="12" t="s">
        <v>467</v>
      </c>
      <c r="D32" s="12" t="s">
        <v>533</v>
      </c>
      <c r="E32" s="12" t="s">
        <v>96</v>
      </c>
      <c r="F32" s="12" t="s">
        <v>534</v>
      </c>
      <c r="G32" s="12" t="s">
        <v>535</v>
      </c>
      <c r="H32" s="13" t="s">
        <v>511</v>
      </c>
      <c r="I32" s="12" t="s">
        <v>536</v>
      </c>
    </row>
    <row r="33" customFormat="false" ht="15.75" hidden="false" customHeight="true" outlineLevel="0" collapsed="false">
      <c r="A33" s="12" t="s">
        <v>537</v>
      </c>
      <c r="B33" s="12" t="s">
        <v>538</v>
      </c>
      <c r="C33" s="12" t="s">
        <v>393</v>
      </c>
      <c r="D33" s="12" t="s">
        <v>539</v>
      </c>
      <c r="E33" s="12" t="s">
        <v>96</v>
      </c>
      <c r="F33" s="12" t="s">
        <v>540</v>
      </c>
      <c r="G33" s="12" t="s">
        <v>541</v>
      </c>
      <c r="H33" s="13" t="s">
        <v>511</v>
      </c>
      <c r="I33" s="12"/>
    </row>
    <row r="34" customFormat="false" ht="15.75" hidden="false" customHeight="true" outlineLevel="0" collapsed="false">
      <c r="A34" s="12" t="s">
        <v>542</v>
      </c>
      <c r="B34" s="12" t="s">
        <v>457</v>
      </c>
      <c r="C34" s="12" t="s">
        <v>543</v>
      </c>
      <c r="D34" s="12" t="s">
        <v>544</v>
      </c>
      <c r="E34" s="12" t="s">
        <v>96</v>
      </c>
      <c r="F34" s="12" t="s">
        <v>545</v>
      </c>
      <c r="G34" s="12" t="s">
        <v>546</v>
      </c>
      <c r="H34" s="13" t="s">
        <v>547</v>
      </c>
      <c r="I34" s="12"/>
    </row>
    <row r="35" customFormat="false" ht="15.75" hidden="false" customHeight="true" outlineLevel="0" collapsed="false">
      <c r="A35" s="12" t="s">
        <v>548</v>
      </c>
      <c r="B35" s="12" t="s">
        <v>412</v>
      </c>
      <c r="C35" s="12" t="s">
        <v>413</v>
      </c>
      <c r="D35" s="12" t="s">
        <v>414</v>
      </c>
      <c r="E35" s="12" t="s">
        <v>96</v>
      </c>
      <c r="F35" s="12" t="s">
        <v>549</v>
      </c>
      <c r="G35" s="12" t="s">
        <v>550</v>
      </c>
      <c r="H35" s="13" t="s">
        <v>531</v>
      </c>
      <c r="I35" s="12"/>
    </row>
    <row r="36" customFormat="false" ht="15.75" hidden="false" customHeight="true" outlineLevel="0" collapsed="false">
      <c r="A36" s="12" t="s">
        <v>551</v>
      </c>
      <c r="B36" s="12" t="s">
        <v>552</v>
      </c>
      <c r="C36" s="12" t="s">
        <v>553</v>
      </c>
      <c r="D36" s="12" t="s">
        <v>554</v>
      </c>
      <c r="E36" s="12" t="s">
        <v>96</v>
      </c>
      <c r="F36" s="12" t="s">
        <v>555</v>
      </c>
      <c r="G36" s="12" t="s">
        <v>556</v>
      </c>
      <c r="H36" s="13" t="s">
        <v>511</v>
      </c>
      <c r="I36" s="12" t="s">
        <v>557</v>
      </c>
    </row>
    <row r="37" customFormat="false" ht="15.75" hidden="false" customHeight="true" outlineLevel="0" collapsed="false">
      <c r="A37" s="12" t="s">
        <v>558</v>
      </c>
      <c r="B37" s="12" t="s">
        <v>559</v>
      </c>
      <c r="C37" s="12" t="s">
        <v>560</v>
      </c>
      <c r="D37" s="12" t="s">
        <v>561</v>
      </c>
      <c r="E37" s="12" t="s">
        <v>96</v>
      </c>
      <c r="F37" s="12" t="s">
        <v>562</v>
      </c>
      <c r="G37" s="12" t="s">
        <v>454</v>
      </c>
      <c r="H37" s="13" t="s">
        <v>511</v>
      </c>
      <c r="I37" s="12" t="s">
        <v>563</v>
      </c>
    </row>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I26"/>
  <hyperlinks>
    <hyperlink ref="H2" r:id="rId1" display="https://www.visitphilly.com/things-to-do/events/blackstar-film-festival/"/>
    <hyperlink ref="H3" r:id="rId2" display="https://blackstarprojects.org/press/blackstar-film-festival-2026-lineup"/>
    <hyperlink ref="H4" r:id="rId3" display="https://blackstarprojects.org/press/blackstar-film-festival-2026-lineup"/>
    <hyperlink ref="H5" r:id="rId4" display="https://www.theatreexile.org/renters-in-exile/philadelphia-unnamed-film-festival"/>
    <hyperlink ref="H6" r:id="rId5" display="https://www.visitphilly.com/articles/philadelphia/asian-american-pacific-islander-heritage-month-aapi/"/>
    <hyperlink ref="H7" r:id="rId6" display="https://www.visitphilly.com/articles/philadelphia/asian-american-pacific-islander-heritage-month-aapi/"/>
    <hyperlink ref="H8" r:id="rId7" display="https://theweitzman.org/philadelphia-jewish-film-and-media/"/>
    <hyperlink ref="H9" r:id="rId8" display="https://libwww.freelibrary.org/calendar/event/165828"/>
    <hyperlink ref="H10" r:id="rId9" display="https://www.visitphilly.com/articles/philadelphia/asian-american-pacific-islander-heritage-month-aapi/"/>
    <hyperlink ref="H11" r:id="rId10" display="https://www.broadstreetreview.com/features/meet-10-philly-film-clubs-welcoming-cinephiles-from-across-the-region"/>
    <hyperlink ref="H12" r:id="rId11" display="https://www.broadstreetreview.com/features/meet-10-philly-film-clubs-welcoming-cinephiles-from-across-the-region"/>
    <hyperlink ref="H13" r:id="rId12" display="https://www.broadstreetreview.com/features/meet-10-philly-film-clubs-welcoming-cinephiles-from-across-the-region"/>
    <hyperlink ref="H14" r:id="rId13" display="https://www.broadstreetreview.com/features/meet-10-philly-film-clubs-welcoming-cinephiles-from-across-the-region"/>
    <hyperlink ref="H15" r:id="rId14" display="https://www.broadstreetreview.com/features/meet-10-philly-film-clubs-welcoming-cinephiles-from-across-the-region"/>
    <hyperlink ref="H16" r:id="rId15" display="https://www.broadstreetreview.com/features/meet-10-philly-film-clubs-welcoming-cinephiles-from-across-the-region"/>
    <hyperlink ref="H17" r:id="rId16" display="https://www.broadstreetreview.com/features/meet-10-philly-film-clubs-welcoming-cinephiles-from-across-the-region"/>
    <hyperlink ref="H18" r:id="rId17" display="https://www.34st.com/article/2026/02/philadelphia-independent-film-third-spaces-the-secret-cinema-lightbox-cinespeak-grassroots-organizations"/>
    <hyperlink ref="H19" r:id="rId18" display="https://www.34st.com/article/2026/02/philadelphia-independent-film-third-spaces-the-secret-cinema-lightbox-cinespeak-grassroots-organizations"/>
    <hyperlink ref="H20" r:id="rId19" display="https://cinespeak.org/2024/04/02/list-of-film-festivals-in-philadelphia/"/>
    <hyperlink ref="H21" r:id="rId20" display="https://philmclub.com/philmclub033"/>
    <hyperlink ref="H22" r:id="rId21" display="https://philmclub.com/philmclub033"/>
    <hyperlink ref="H23" r:id="rId22" display="https://philmclub.com/philmclub012"/>
    <hyperlink ref="H24" r:id="rId23" display="https://philmclub.com/philmclub033"/>
    <hyperlink ref="H25" r:id="rId24" display="https://www.yelp.com/biz/secret-cinema-philadelphia"/>
    <hyperlink ref="H26" r:id="rId25" display="https://wilmington.film/more-than-a-movie-festiva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4.43359375" defaultRowHeight="15"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26"/>
    <col collapsed="false" customWidth="true" hidden="false" outlineLevel="0" max="5" min="4" style="0" width="30"/>
    <col collapsed="false" customWidth="true" hidden="false" outlineLevel="0" max="6" min="6" style="0" width="20"/>
    <col collapsed="false" customWidth="true" hidden="false" outlineLevel="0" max="7" min="7" style="0" width="34"/>
    <col collapsed="false" customWidth="true" hidden="false" outlineLevel="0" max="8" min="8" style="0" width="30"/>
    <col collapsed="false" customWidth="true" hidden="false" outlineLevel="0" max="9" min="9" style="0" width="24"/>
    <col collapsed="false" customWidth="true" hidden="false" outlineLevel="0" max="10" min="10" style="0" width="40"/>
    <col collapsed="false" customWidth="true" hidden="false" outlineLevel="0" max="11" min="11" style="0" width="44"/>
    <col collapsed="false" customWidth="true" hidden="false" outlineLevel="0" max="26" min="12" style="0" width="8.71"/>
  </cols>
  <sheetData>
    <row r="1" customFormat="false" ht="31.5" hidden="false" customHeight="true" outlineLevel="0" collapsed="false">
      <c r="A1" s="11" t="s">
        <v>60</v>
      </c>
      <c r="B1" s="11" t="s">
        <v>61</v>
      </c>
      <c r="C1" s="11" t="s">
        <v>564</v>
      </c>
      <c r="D1" s="11" t="s">
        <v>565</v>
      </c>
      <c r="E1" s="11" t="s">
        <v>566</v>
      </c>
      <c r="F1" s="11" t="s">
        <v>567</v>
      </c>
      <c r="G1" s="11" t="s">
        <v>568</v>
      </c>
      <c r="H1" s="11" t="s">
        <v>569</v>
      </c>
      <c r="I1" s="11" t="s">
        <v>570</v>
      </c>
      <c r="J1" s="11" t="s">
        <v>355</v>
      </c>
      <c r="K1" s="11" t="s">
        <v>356</v>
      </c>
    </row>
    <row r="2" customFormat="false" ht="35.05" hidden="false" customHeight="false" outlineLevel="0" collapsed="false">
      <c r="A2" s="12" t="s">
        <v>571</v>
      </c>
      <c r="B2" s="12" t="s">
        <v>84</v>
      </c>
      <c r="C2" s="12" t="s">
        <v>572</v>
      </c>
      <c r="D2" s="12" t="s">
        <v>573</v>
      </c>
      <c r="E2" s="12" t="s">
        <v>574</v>
      </c>
      <c r="F2" s="12" t="s">
        <v>575</v>
      </c>
      <c r="G2" s="13" t="s">
        <v>104</v>
      </c>
      <c r="H2" s="12" t="s">
        <v>576</v>
      </c>
      <c r="I2" s="12" t="s">
        <v>95</v>
      </c>
      <c r="J2" s="13" t="s">
        <v>104</v>
      </c>
      <c r="K2" s="12" t="s">
        <v>577</v>
      </c>
    </row>
    <row r="3" customFormat="false" ht="23.85" hidden="false" customHeight="false" outlineLevel="0" collapsed="false">
      <c r="A3" s="12" t="s">
        <v>578</v>
      </c>
      <c r="B3" s="12" t="s">
        <v>188</v>
      </c>
      <c r="C3" s="12" t="s">
        <v>579</v>
      </c>
      <c r="D3" s="12" t="s">
        <v>580</v>
      </c>
      <c r="E3" s="12" t="s">
        <v>581</v>
      </c>
      <c r="F3" s="12" t="s">
        <v>575</v>
      </c>
      <c r="G3" s="13" t="s">
        <v>195</v>
      </c>
      <c r="H3" s="12" t="s">
        <v>582</v>
      </c>
      <c r="I3" s="12" t="s">
        <v>95</v>
      </c>
      <c r="J3" s="13" t="s">
        <v>195</v>
      </c>
      <c r="K3" s="12" t="s">
        <v>583</v>
      </c>
    </row>
    <row r="4" customFormat="false" ht="23.85" hidden="false" customHeight="false" outlineLevel="0" collapsed="false">
      <c r="A4" s="12" t="s">
        <v>584</v>
      </c>
      <c r="B4" s="12" t="s">
        <v>362</v>
      </c>
      <c r="C4" s="12" t="s">
        <v>585</v>
      </c>
      <c r="D4" s="12" t="s">
        <v>586</v>
      </c>
      <c r="E4" s="12" t="s">
        <v>587</v>
      </c>
      <c r="F4" s="12" t="s">
        <v>588</v>
      </c>
      <c r="G4" s="13" t="s">
        <v>589</v>
      </c>
      <c r="H4" s="12" t="s">
        <v>590</v>
      </c>
      <c r="I4" s="12" t="s">
        <v>95</v>
      </c>
      <c r="J4" s="13" t="s">
        <v>591</v>
      </c>
      <c r="K4" s="12"/>
    </row>
    <row r="5" customFormat="false" ht="23.85" hidden="false" customHeight="false" outlineLevel="0" collapsed="false">
      <c r="A5" s="12" t="s">
        <v>592</v>
      </c>
      <c r="B5" s="12" t="s">
        <v>454</v>
      </c>
      <c r="C5" s="12" t="s">
        <v>593</v>
      </c>
      <c r="D5" s="12" t="s">
        <v>594</v>
      </c>
      <c r="E5" s="12" t="s">
        <v>595</v>
      </c>
      <c r="F5" s="12" t="s">
        <v>596</v>
      </c>
      <c r="G5" s="13" t="s">
        <v>511</v>
      </c>
      <c r="H5" s="12" t="s">
        <v>597</v>
      </c>
      <c r="I5" s="12" t="s">
        <v>95</v>
      </c>
      <c r="J5" s="13" t="s">
        <v>455</v>
      </c>
      <c r="K5" s="12" t="s">
        <v>598</v>
      </c>
    </row>
    <row r="6" customFormat="false" ht="35.05" hidden="false" customHeight="false" outlineLevel="0" collapsed="false">
      <c r="A6" s="12" t="s">
        <v>599</v>
      </c>
      <c r="B6" s="12" t="s">
        <v>600</v>
      </c>
      <c r="C6" s="12" t="s">
        <v>585</v>
      </c>
      <c r="D6" s="12" t="s">
        <v>601</v>
      </c>
      <c r="E6" s="12" t="s">
        <v>602</v>
      </c>
      <c r="F6" s="12" t="s">
        <v>603</v>
      </c>
      <c r="G6" s="13" t="s">
        <v>604</v>
      </c>
      <c r="H6" s="12" t="s">
        <v>590</v>
      </c>
      <c r="I6" s="12" t="s">
        <v>605</v>
      </c>
      <c r="J6" s="13" t="s">
        <v>606</v>
      </c>
      <c r="K6" s="12"/>
    </row>
    <row r="7" customFormat="false" ht="23.85" hidden="false" customHeight="false" outlineLevel="0" collapsed="false">
      <c r="A7" s="12" t="s">
        <v>607</v>
      </c>
      <c r="B7" s="12" t="s">
        <v>608</v>
      </c>
      <c r="C7" s="12" t="s">
        <v>585</v>
      </c>
      <c r="D7" s="12" t="s">
        <v>609</v>
      </c>
      <c r="E7" s="12" t="s">
        <v>610</v>
      </c>
      <c r="F7" s="12" t="s">
        <v>611</v>
      </c>
      <c r="G7" s="13" t="s">
        <v>612</v>
      </c>
      <c r="H7" s="12" t="s">
        <v>590</v>
      </c>
      <c r="I7" s="12" t="s">
        <v>95</v>
      </c>
      <c r="J7" s="13" t="s">
        <v>170</v>
      </c>
      <c r="K7" s="12"/>
    </row>
    <row r="8" customFormat="false" ht="23.85" hidden="false" customHeight="false" outlineLevel="0" collapsed="false">
      <c r="A8" s="12" t="s">
        <v>613</v>
      </c>
      <c r="B8" s="12" t="s">
        <v>614</v>
      </c>
      <c r="C8" s="12" t="s">
        <v>615</v>
      </c>
      <c r="D8" s="12" t="s">
        <v>616</v>
      </c>
      <c r="E8" s="12" t="s">
        <v>617</v>
      </c>
      <c r="F8" s="12" t="s">
        <v>618</v>
      </c>
      <c r="G8" s="13" t="s">
        <v>619</v>
      </c>
      <c r="H8" s="12" t="s">
        <v>620</v>
      </c>
      <c r="I8" s="12" t="s">
        <v>95</v>
      </c>
      <c r="J8" s="13" t="s">
        <v>621</v>
      </c>
      <c r="K8" s="12" t="s">
        <v>622</v>
      </c>
    </row>
    <row r="9" customFormat="false" ht="23.85" hidden="false" customHeight="false" outlineLevel="0" collapsed="false">
      <c r="A9" s="12" t="s">
        <v>623</v>
      </c>
      <c r="B9" s="12" t="s">
        <v>624</v>
      </c>
      <c r="C9" s="12" t="s">
        <v>625</v>
      </c>
      <c r="D9" s="12" t="s">
        <v>626</v>
      </c>
      <c r="E9" s="12" t="s">
        <v>627</v>
      </c>
      <c r="F9" s="12" t="s">
        <v>628</v>
      </c>
      <c r="G9" s="12" t="s">
        <v>310</v>
      </c>
      <c r="H9" s="12" t="s">
        <v>629</v>
      </c>
      <c r="I9" s="12" t="s">
        <v>95</v>
      </c>
      <c r="J9" s="13" t="s">
        <v>630</v>
      </c>
      <c r="K9" s="12" t="s">
        <v>631</v>
      </c>
    </row>
    <row r="10" customFormat="false" ht="35.05" hidden="false" customHeight="false" outlineLevel="0" collapsed="false">
      <c r="A10" s="12" t="s">
        <v>632</v>
      </c>
      <c r="B10" s="12" t="s">
        <v>490</v>
      </c>
      <c r="C10" s="12" t="s">
        <v>633</v>
      </c>
      <c r="D10" s="12" t="s">
        <v>634</v>
      </c>
      <c r="E10" s="12" t="s">
        <v>635</v>
      </c>
      <c r="F10" s="12" t="s">
        <v>636</v>
      </c>
      <c r="G10" s="12" t="s">
        <v>310</v>
      </c>
      <c r="H10" s="12" t="s">
        <v>637</v>
      </c>
      <c r="I10" s="12" t="s">
        <v>95</v>
      </c>
      <c r="J10" s="13" t="s">
        <v>455</v>
      </c>
      <c r="K10" s="12" t="s">
        <v>638</v>
      </c>
    </row>
    <row r="11" customFormat="false" ht="15" hidden="false" customHeight="false" outlineLevel="0" collapsed="false">
      <c r="A11" s="14" t="s">
        <v>639</v>
      </c>
      <c r="B11" s="14" t="s">
        <v>640</v>
      </c>
      <c r="C11" s="14" t="s">
        <v>641</v>
      </c>
      <c r="D11" s="14" t="s">
        <v>642</v>
      </c>
      <c r="E11" s="14" t="s">
        <v>643</v>
      </c>
      <c r="F11" s="14" t="s">
        <v>644</v>
      </c>
      <c r="G11" s="15" t="s">
        <v>645</v>
      </c>
      <c r="H11" s="14" t="s">
        <v>646</v>
      </c>
      <c r="I11" s="14" t="s">
        <v>647</v>
      </c>
      <c r="J11" s="15" t="s">
        <v>648</v>
      </c>
      <c r="K11" s="14"/>
    </row>
    <row r="12" customFormat="false" ht="15" hidden="false" customHeight="false" outlineLevel="0" collapsed="false">
      <c r="A12" s="12" t="s">
        <v>649</v>
      </c>
      <c r="B12" s="12" t="s">
        <v>650</v>
      </c>
      <c r="C12" s="12" t="s">
        <v>651</v>
      </c>
      <c r="D12" s="12" t="s">
        <v>652</v>
      </c>
      <c r="E12" s="12" t="s">
        <v>653</v>
      </c>
      <c r="F12" s="12" t="s">
        <v>654</v>
      </c>
      <c r="G12" s="13" t="s">
        <v>161</v>
      </c>
      <c r="H12" s="12" t="s">
        <v>655</v>
      </c>
      <c r="I12" s="12" t="s">
        <v>656</v>
      </c>
      <c r="J12" s="13" t="s">
        <v>657</v>
      </c>
      <c r="K12" s="12"/>
    </row>
    <row r="13" customFormat="false" ht="23.85" hidden="false" customHeight="false" outlineLevel="0" collapsed="false">
      <c r="A13" s="12" t="s">
        <v>658</v>
      </c>
      <c r="B13" s="12" t="s">
        <v>659</v>
      </c>
      <c r="C13" s="12" t="s">
        <v>641</v>
      </c>
      <c r="D13" s="12" t="s">
        <v>660</v>
      </c>
      <c r="E13" s="12" t="s">
        <v>661</v>
      </c>
      <c r="F13" s="12" t="s">
        <v>644</v>
      </c>
      <c r="G13" s="13" t="s">
        <v>662</v>
      </c>
      <c r="H13" s="12" t="s">
        <v>663</v>
      </c>
      <c r="I13" s="12" t="s">
        <v>95</v>
      </c>
      <c r="J13" s="13" t="s">
        <v>123</v>
      </c>
      <c r="K13" s="12" t="s">
        <v>664</v>
      </c>
    </row>
    <row r="14" customFormat="false" ht="15" hidden="false" customHeight="false" outlineLevel="0" collapsed="false">
      <c r="A14" s="12" t="s">
        <v>665</v>
      </c>
      <c r="B14" s="12" t="s">
        <v>666</v>
      </c>
      <c r="C14" s="12" t="s">
        <v>667</v>
      </c>
      <c r="D14" s="12" t="s">
        <v>668</v>
      </c>
      <c r="E14" s="12" t="s">
        <v>669</v>
      </c>
      <c r="F14" s="12" t="s">
        <v>670</v>
      </c>
      <c r="G14" s="13" t="s">
        <v>671</v>
      </c>
      <c r="H14" s="12" t="s">
        <v>672</v>
      </c>
      <c r="I14" s="12" t="s">
        <v>95</v>
      </c>
      <c r="J14" s="13" t="s">
        <v>421</v>
      </c>
      <c r="K14" s="12" t="s">
        <v>673</v>
      </c>
    </row>
    <row r="15" customFormat="false" ht="15" hidden="false" customHeight="false" outlineLevel="0" collapsed="false">
      <c r="A15" s="12" t="s">
        <v>674</v>
      </c>
      <c r="B15" s="12" t="s">
        <v>450</v>
      </c>
      <c r="C15" s="12" t="s">
        <v>675</v>
      </c>
      <c r="D15" s="12" t="s">
        <v>676</v>
      </c>
      <c r="E15" s="12" t="s">
        <v>677</v>
      </c>
      <c r="F15" s="12" t="s">
        <v>644</v>
      </c>
      <c r="G15" s="13" t="s">
        <v>678</v>
      </c>
      <c r="H15" s="12" t="s">
        <v>679</v>
      </c>
      <c r="I15" s="12" t="s">
        <v>95</v>
      </c>
      <c r="J15" s="13" t="s">
        <v>421</v>
      </c>
      <c r="K15" s="12" t="s">
        <v>680</v>
      </c>
    </row>
    <row r="16" customFormat="false" ht="15" hidden="false" customHeight="false" outlineLevel="0" collapsed="false">
      <c r="A16" s="12" t="s">
        <v>681</v>
      </c>
      <c r="B16" s="12" t="s">
        <v>682</v>
      </c>
      <c r="C16" s="12" t="s">
        <v>641</v>
      </c>
      <c r="D16" s="12" t="s">
        <v>683</v>
      </c>
      <c r="E16" s="12" t="s">
        <v>684</v>
      </c>
      <c r="F16" s="12" t="s">
        <v>644</v>
      </c>
      <c r="G16" s="13" t="s">
        <v>685</v>
      </c>
      <c r="H16" s="12" t="s">
        <v>672</v>
      </c>
      <c r="I16" s="12" t="s">
        <v>95</v>
      </c>
      <c r="J16" s="13" t="s">
        <v>421</v>
      </c>
      <c r="K16" s="12"/>
    </row>
    <row r="17" customFormat="false" ht="15" hidden="false" customHeight="false" outlineLevel="0" collapsed="false">
      <c r="A17" s="12" t="s">
        <v>686</v>
      </c>
      <c r="B17" s="12" t="s">
        <v>436</v>
      </c>
      <c r="C17" s="12" t="s">
        <v>641</v>
      </c>
      <c r="D17" s="12" t="s">
        <v>687</v>
      </c>
      <c r="E17" s="12" t="s">
        <v>433</v>
      </c>
      <c r="F17" s="12" t="s">
        <v>644</v>
      </c>
      <c r="G17" s="13" t="s">
        <v>688</v>
      </c>
      <c r="H17" s="12" t="s">
        <v>689</v>
      </c>
      <c r="I17" s="12" t="s">
        <v>95</v>
      </c>
      <c r="J17" s="13" t="s">
        <v>421</v>
      </c>
      <c r="K17" s="12"/>
    </row>
    <row r="18" customFormat="false" ht="15" hidden="false" customHeight="false" outlineLevel="0" collapsed="false">
      <c r="A18" s="12" t="s">
        <v>690</v>
      </c>
      <c r="B18" s="12" t="s">
        <v>427</v>
      </c>
      <c r="C18" s="12" t="s">
        <v>641</v>
      </c>
      <c r="D18" s="12" t="s">
        <v>691</v>
      </c>
      <c r="E18" s="12" t="s">
        <v>424</v>
      </c>
      <c r="F18" s="12" t="s">
        <v>644</v>
      </c>
      <c r="G18" s="13" t="s">
        <v>692</v>
      </c>
      <c r="H18" s="12" t="s">
        <v>689</v>
      </c>
      <c r="I18" s="12" t="s">
        <v>95</v>
      </c>
      <c r="J18" s="13" t="s">
        <v>421</v>
      </c>
      <c r="K18" s="12"/>
    </row>
    <row r="19" customFormat="false" ht="15" hidden="false" customHeight="false" outlineLevel="0" collapsed="false">
      <c r="A19" s="12" t="s">
        <v>693</v>
      </c>
      <c r="B19" s="12" t="s">
        <v>431</v>
      </c>
      <c r="C19" s="12" t="s">
        <v>641</v>
      </c>
      <c r="D19" s="12" t="s">
        <v>694</v>
      </c>
      <c r="E19" s="12" t="s">
        <v>429</v>
      </c>
      <c r="F19" s="12" t="s">
        <v>695</v>
      </c>
      <c r="G19" s="13" t="s">
        <v>696</v>
      </c>
      <c r="H19" s="12" t="s">
        <v>672</v>
      </c>
      <c r="I19" s="12" t="s">
        <v>95</v>
      </c>
      <c r="J19" s="13" t="s">
        <v>421</v>
      </c>
      <c r="K19" s="12"/>
    </row>
    <row r="20" customFormat="false" ht="23.85" hidden="false" customHeight="false" outlineLevel="0" collapsed="false">
      <c r="A20" s="12" t="s">
        <v>697</v>
      </c>
      <c r="B20" s="12" t="s">
        <v>440</v>
      </c>
      <c r="C20" s="12" t="s">
        <v>641</v>
      </c>
      <c r="D20" s="12" t="s">
        <v>698</v>
      </c>
      <c r="E20" s="12" t="s">
        <v>699</v>
      </c>
      <c r="F20" s="12" t="s">
        <v>644</v>
      </c>
      <c r="G20" s="13" t="s">
        <v>700</v>
      </c>
      <c r="H20" s="12" t="s">
        <v>672</v>
      </c>
      <c r="I20" s="12" t="s">
        <v>95</v>
      </c>
      <c r="J20" s="13" t="s">
        <v>701</v>
      </c>
      <c r="K20" s="12" t="s">
        <v>702</v>
      </c>
    </row>
    <row r="21" customFormat="false" ht="15.75" hidden="false" customHeight="true" outlineLevel="0" collapsed="false">
      <c r="A21" s="12" t="s">
        <v>703</v>
      </c>
      <c r="B21" s="12" t="s">
        <v>704</v>
      </c>
      <c r="C21" s="12" t="s">
        <v>705</v>
      </c>
      <c r="D21" s="12" t="s">
        <v>706</v>
      </c>
      <c r="E21" s="12" t="s">
        <v>707</v>
      </c>
      <c r="F21" s="12" t="s">
        <v>708</v>
      </c>
      <c r="G21" s="13" t="s">
        <v>709</v>
      </c>
      <c r="H21" s="12" t="s">
        <v>672</v>
      </c>
      <c r="I21" s="12" t="s">
        <v>95</v>
      </c>
      <c r="J21" s="13" t="s">
        <v>421</v>
      </c>
      <c r="K21" s="12" t="s">
        <v>710</v>
      </c>
    </row>
    <row r="22" customFormat="false" ht="15.75" hidden="false" customHeight="true" outlineLevel="0" collapsed="false">
      <c r="A22" s="12" t="s">
        <v>711</v>
      </c>
      <c r="B22" s="12" t="s">
        <v>420</v>
      </c>
      <c r="C22" s="12" t="s">
        <v>641</v>
      </c>
      <c r="D22" s="12" t="s">
        <v>712</v>
      </c>
      <c r="E22" s="12" t="s">
        <v>713</v>
      </c>
      <c r="F22" s="12" t="s">
        <v>644</v>
      </c>
      <c r="G22" s="13" t="s">
        <v>714</v>
      </c>
      <c r="H22" s="12" t="s">
        <v>672</v>
      </c>
      <c r="I22" s="12" t="s">
        <v>95</v>
      </c>
      <c r="J22" s="13" t="s">
        <v>421</v>
      </c>
      <c r="K22" s="12" t="s">
        <v>715</v>
      </c>
    </row>
    <row r="23" customFormat="false" ht="15.75" hidden="false" customHeight="true" outlineLevel="0" collapsed="false">
      <c r="A23" s="12" t="s">
        <v>716</v>
      </c>
      <c r="B23" s="12" t="s">
        <v>717</v>
      </c>
      <c r="C23" s="12" t="s">
        <v>718</v>
      </c>
      <c r="D23" s="12" t="s">
        <v>719</v>
      </c>
      <c r="E23" s="12" t="s">
        <v>310</v>
      </c>
      <c r="F23" s="12" t="s">
        <v>720</v>
      </c>
      <c r="G23" s="12" t="s">
        <v>310</v>
      </c>
      <c r="H23" s="12" t="s">
        <v>310</v>
      </c>
      <c r="I23" s="12" t="s">
        <v>95</v>
      </c>
      <c r="J23" s="13" t="s">
        <v>721</v>
      </c>
      <c r="K23" s="12" t="s">
        <v>722</v>
      </c>
    </row>
    <row r="24" customFormat="false" ht="15.75" hidden="false" customHeight="true" outlineLevel="0" collapsed="false">
      <c r="A24" s="12" t="s">
        <v>723</v>
      </c>
      <c r="B24" s="12" t="s">
        <v>724</v>
      </c>
      <c r="C24" s="12" t="s">
        <v>725</v>
      </c>
      <c r="D24" s="12" t="s">
        <v>726</v>
      </c>
      <c r="E24" s="12" t="s">
        <v>377</v>
      </c>
      <c r="F24" s="12" t="s">
        <v>727</v>
      </c>
      <c r="G24" s="13" t="s">
        <v>728</v>
      </c>
      <c r="H24" s="12" t="s">
        <v>729</v>
      </c>
      <c r="I24" s="12" t="s">
        <v>95</v>
      </c>
      <c r="J24" s="13" t="s">
        <v>382</v>
      </c>
      <c r="K24" s="12" t="s">
        <v>730</v>
      </c>
    </row>
    <row r="25" customFormat="false" ht="15.75" hidden="false" customHeight="true" outlineLevel="0" collapsed="false">
      <c r="A25" s="14" t="s">
        <v>731</v>
      </c>
      <c r="B25" s="14" t="s">
        <v>732</v>
      </c>
      <c r="C25" s="14" t="s">
        <v>733</v>
      </c>
      <c r="D25" s="14" t="s">
        <v>734</v>
      </c>
      <c r="E25" s="14" t="s">
        <v>310</v>
      </c>
      <c r="F25" s="14" t="s">
        <v>735</v>
      </c>
      <c r="G25" s="15" t="s">
        <v>736</v>
      </c>
      <c r="H25" s="14" t="s">
        <v>590</v>
      </c>
      <c r="I25" s="14" t="s">
        <v>737</v>
      </c>
      <c r="J25" s="15" t="s">
        <v>463</v>
      </c>
      <c r="K25" s="14"/>
    </row>
    <row r="26" customFormat="false" ht="15.75" hidden="false" customHeight="true" outlineLevel="0" collapsed="false">
      <c r="A26" s="14" t="s">
        <v>738</v>
      </c>
      <c r="B26" s="14" t="s">
        <v>739</v>
      </c>
      <c r="C26" s="14" t="s">
        <v>740</v>
      </c>
      <c r="D26" s="14" t="s">
        <v>741</v>
      </c>
      <c r="E26" s="14" t="s">
        <v>742</v>
      </c>
      <c r="F26" s="14" t="s">
        <v>636</v>
      </c>
      <c r="G26" s="14" t="s">
        <v>310</v>
      </c>
      <c r="H26" s="14" t="s">
        <v>310</v>
      </c>
      <c r="I26" s="14" t="s">
        <v>737</v>
      </c>
      <c r="J26" s="15" t="s">
        <v>648</v>
      </c>
      <c r="K26" s="14" t="s">
        <v>743</v>
      </c>
    </row>
    <row r="27" customFormat="false" ht="15.75" hidden="false" customHeight="true" outlineLevel="0" collapsed="false">
      <c r="A27" s="14" t="s">
        <v>744</v>
      </c>
      <c r="B27" s="14" t="s">
        <v>745</v>
      </c>
      <c r="C27" s="14" t="s">
        <v>641</v>
      </c>
      <c r="D27" s="14" t="s">
        <v>310</v>
      </c>
      <c r="E27" s="14" t="s">
        <v>746</v>
      </c>
      <c r="F27" s="14" t="s">
        <v>310</v>
      </c>
      <c r="G27" s="14" t="s">
        <v>310</v>
      </c>
      <c r="H27" s="14" t="s">
        <v>310</v>
      </c>
      <c r="I27" s="14" t="s">
        <v>747</v>
      </c>
      <c r="J27" s="15" t="s">
        <v>748</v>
      </c>
      <c r="K27" s="14"/>
    </row>
    <row r="28" customFormat="false" ht="15.75" hidden="false" customHeight="true" outlineLevel="0" collapsed="false">
      <c r="A28" s="12" t="s">
        <v>749</v>
      </c>
      <c r="B28" s="12" t="s">
        <v>750</v>
      </c>
      <c r="C28" s="12" t="s">
        <v>751</v>
      </c>
      <c r="D28" s="12" t="s">
        <v>752</v>
      </c>
      <c r="E28" s="12" t="s">
        <v>753</v>
      </c>
      <c r="F28" s="12" t="s">
        <v>754</v>
      </c>
      <c r="G28" s="13" t="s">
        <v>755</v>
      </c>
      <c r="H28" s="12" t="s">
        <v>756</v>
      </c>
      <c r="I28" s="12" t="s">
        <v>95</v>
      </c>
      <c r="J28" s="13" t="s">
        <v>757</v>
      </c>
      <c r="K28" s="12" t="s">
        <v>758</v>
      </c>
    </row>
    <row r="29" customFormat="false" ht="15.75" hidden="false" customHeight="true" outlineLevel="0" collapsed="false">
      <c r="A29" s="14" t="s">
        <v>759</v>
      </c>
      <c r="B29" s="14" t="s">
        <v>760</v>
      </c>
      <c r="C29" s="14" t="s">
        <v>761</v>
      </c>
      <c r="D29" s="14" t="s">
        <v>762</v>
      </c>
      <c r="E29" s="14" t="s">
        <v>763</v>
      </c>
      <c r="F29" s="14" t="s">
        <v>764</v>
      </c>
      <c r="G29" s="14" t="s">
        <v>310</v>
      </c>
      <c r="H29" s="14" t="s">
        <v>765</v>
      </c>
      <c r="I29" s="14" t="s">
        <v>737</v>
      </c>
      <c r="J29" s="15" t="s">
        <v>463</v>
      </c>
      <c r="K29" s="14"/>
    </row>
    <row r="30" customFormat="false" ht="15.75" hidden="false" customHeight="true" outlineLevel="0" collapsed="false">
      <c r="A30" s="14" t="s">
        <v>766</v>
      </c>
      <c r="B30" s="14" t="s">
        <v>767</v>
      </c>
      <c r="C30" s="14" t="s">
        <v>761</v>
      </c>
      <c r="D30" s="14" t="s">
        <v>768</v>
      </c>
      <c r="E30" s="14" t="s">
        <v>769</v>
      </c>
      <c r="F30" s="14" t="s">
        <v>764</v>
      </c>
      <c r="G30" s="15" t="s">
        <v>770</v>
      </c>
      <c r="H30" s="14" t="s">
        <v>771</v>
      </c>
      <c r="I30" s="14" t="s">
        <v>772</v>
      </c>
      <c r="J30" s="15" t="s">
        <v>648</v>
      </c>
      <c r="K30" s="14"/>
    </row>
    <row r="31" customFormat="false" ht="15.75" hidden="false" customHeight="true" outlineLevel="0" collapsed="false">
      <c r="A31" s="12" t="s">
        <v>773</v>
      </c>
      <c r="B31" s="12" t="s">
        <v>774</v>
      </c>
      <c r="C31" s="12" t="s">
        <v>775</v>
      </c>
      <c r="D31" s="12" t="s">
        <v>776</v>
      </c>
      <c r="E31" s="12" t="s">
        <v>368</v>
      </c>
      <c r="F31" s="12" t="s">
        <v>368</v>
      </c>
      <c r="G31" s="13" t="s">
        <v>777</v>
      </c>
      <c r="H31" s="12" t="s">
        <v>778</v>
      </c>
      <c r="I31" s="12" t="s">
        <v>95</v>
      </c>
      <c r="J31" s="13" t="s">
        <v>777</v>
      </c>
      <c r="K31" s="12" t="s">
        <v>779</v>
      </c>
    </row>
    <row r="32" customFormat="false" ht="15.75" hidden="false" customHeight="true" outlineLevel="0" collapsed="false">
      <c r="A32" s="12" t="s">
        <v>780</v>
      </c>
      <c r="B32" s="12" t="s">
        <v>781</v>
      </c>
      <c r="C32" s="12" t="s">
        <v>782</v>
      </c>
      <c r="D32" s="12" t="s">
        <v>776</v>
      </c>
      <c r="E32" s="12" t="s">
        <v>368</v>
      </c>
      <c r="F32" s="12" t="s">
        <v>368</v>
      </c>
      <c r="G32" s="13" t="s">
        <v>783</v>
      </c>
      <c r="H32" s="12" t="s">
        <v>368</v>
      </c>
      <c r="I32" s="12" t="s">
        <v>95</v>
      </c>
      <c r="J32" s="13" t="s">
        <v>783</v>
      </c>
      <c r="K32" s="12" t="s">
        <v>784</v>
      </c>
    </row>
    <row r="33" customFormat="false" ht="15.75" hidden="false" customHeight="true" outlineLevel="0" collapsed="false">
      <c r="A33" s="12" t="s">
        <v>785</v>
      </c>
      <c r="B33" s="12" t="s">
        <v>504</v>
      </c>
      <c r="C33" s="12" t="s">
        <v>786</v>
      </c>
      <c r="D33" s="12" t="s">
        <v>787</v>
      </c>
      <c r="E33" s="12" t="s">
        <v>788</v>
      </c>
      <c r="F33" s="12" t="s">
        <v>644</v>
      </c>
      <c r="G33" s="13" t="s">
        <v>505</v>
      </c>
      <c r="H33" s="12" t="s">
        <v>789</v>
      </c>
      <c r="I33" s="12" t="s">
        <v>95</v>
      </c>
      <c r="J33" s="13" t="s">
        <v>505</v>
      </c>
      <c r="K33" s="12" t="s">
        <v>790</v>
      </c>
    </row>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K32"/>
  <hyperlinks>
    <hyperlink ref="G2" r:id="rId1" display="https://filmadelphia.org/"/>
    <hyperlink ref="J2" r:id="rId2" display="https://filmadelphia.org/"/>
    <hyperlink ref="G3" r:id="rId3" display="https://www.renewtheaters.org/"/>
    <hyperlink ref="J3" r:id="rId4" display="https://www.renewtheaters.org/"/>
    <hyperlink ref="G4" r:id="rId5" display="https://blackstarprojects.org/"/>
    <hyperlink ref="J4" r:id="rId6" display="https://blackstarprojects.org/festival"/>
    <hyperlink ref="G5" r:id="rId7" display="https://cinespeak.org/"/>
    <hyperlink ref="J5" r:id="rId8" display="https://www.34st.com/article/2026/02/philadelphia-independent-film-third-spaces-the-secret-cinema-lightbox-cinespeak-grassroots-organizations"/>
    <hyperlink ref="G6" r:id="rId9" display="https://paaff.org/"/>
    <hyperlink ref="J6" r:id="rId10" display="https://6abc.com/post/philadelphia-asian-american-film-foundation-call-support-celebration/19138114/"/>
    <hyperlink ref="G7" r:id="rId11" display="https://www.phlaff.org/"/>
    <hyperlink ref="J7" r:id="rId12" display="https://www.phlaff.org/los-news/peoples-cinema-club-los-news"/>
    <hyperlink ref="G8" r:id="rId13" display="https://phillyjfm.org/"/>
    <hyperlink ref="J8" r:id="rId14" display="https://theweitzman.org/press-releases/philadelphia-jewish-film-media-is-now-a-program-of-weitzman-national-museum-of-american-jewish-history/"/>
    <hyperlink ref="J9" r:id="rId15" display="https://filmadelphia.org/news/april-june-2026-curated-programming-lineup/"/>
    <hyperlink ref="J10" r:id="rId16" display="https://www.34st.com/article/2026/02/philadelphia-independent-film-third-spaces-the-secret-cinema-lightbox-cinespeak-grassroots-organizations"/>
    <hyperlink ref="G11" r:id="rId17" display="http://psychotronicphilly.org"/>
    <hyperlink ref="J11" r:id="rId18" display="https://philmclub.com/philmclub017"/>
    <hyperlink ref="G12" r:id="rId19" display="https://woodmeremuseum.org/happenings/film"/>
    <hyperlink ref="J12" r:id="rId20" display="https://www.chestnuthilllocal.com/stories/a-new-state-of-the-art-projection-system-for-woodmere-movie-nights,35092"/>
    <hyperlink ref="G13" r:id="rId21" display="https://girlslikehorror.com/"/>
    <hyperlink ref="J13" r:id="rId22" display="https://billypenn.com/2026/09/10/movie-theaters-philly/"/>
    <hyperlink ref="G14" r:id="rId23" display="https://www.instagram.com/bereelblackcinemaclub/"/>
    <hyperlink ref="J14" r:id="rId24" display="https://www.broadstreetreview.com/features/meet-10-philly-film-clubs-welcoming-cinephiles-from-across-the-region"/>
    <hyperlink ref="G15" r:id="rId25" display="https://bloodsick.org/"/>
    <hyperlink ref="J15" r:id="rId26" display="https://www.broadstreetreview.com/features/meet-10-philly-film-clubs-welcoming-cinephiles-from-across-the-region"/>
    <hyperlink ref="G16" r:id="rId27" display="https://www.instagram.com/space_melt_cinema/"/>
    <hyperlink ref="J16" r:id="rId28" display="https://www.broadstreetreview.com/features/meet-10-philly-film-clubs-welcoming-cinephiles-from-across-the-region"/>
    <hyperlink ref="G17" r:id="rId29" display="https://linktr.ee/launderette"/>
    <hyperlink ref="J17" r:id="rId30" display="https://www.broadstreetreview.com/features/meet-10-philly-film-clubs-welcoming-cinephiles-from-across-the-region"/>
    <hyperlink ref="G18" r:id="rId31" display="https://linktr.ee/secrethandshakevintage"/>
    <hyperlink ref="J18" r:id="rId32" display="https://www.broadstreetreview.com/features/meet-10-philly-film-clubs-welcoming-cinephiles-from-across-the-region"/>
    <hyperlink ref="G19" r:id="rId33" display="https://www.instagram.com/sightsandsoundsphl/"/>
    <hyperlink ref="J19" r:id="rId34" display="https://www.broadstreetreview.com/features/meet-10-philly-film-clubs-welcoming-cinephiles-from-across-the-region"/>
    <hyperlink ref="G20" r:id="rId35" display="https://www.instagram.com/v.h.s_club/"/>
    <hyperlink ref="J20" r:id="rId36" display="https://filmadelphia.org/showtimes/"/>
    <hyperlink ref="G21" r:id="rId37" display="https://www.instagram.com/reelclueless/"/>
    <hyperlink ref="J21" r:id="rId38" display="https://www.broadstreetreview.com/features/meet-10-philly-film-clubs-welcoming-cinephiles-from-across-the-region"/>
    <hyperlink ref="G22" r:id="rId39" display="https://www.instagram.com/screwball_screenings/"/>
    <hyperlink ref="J22" r:id="rId40" display="https://www.broadstreetreview.com/features/meet-10-philly-film-clubs-welcoming-cinephiles-from-across-the-region"/>
    <hyperlink ref="J23" r:id="rId41" display="https://www.broadstreetreview.com/features/rough-cuts-builds-new-community-as-phillys-only-open-mic-for-filmmakers"/>
    <hyperlink ref="G24" r:id="rId42" display="https://www.phillyunnamed.org/"/>
    <hyperlink ref="J24" r:id="rId43" display="https://www.theatreexile.org/renters-in-exile/philadelphia-unnamed-film-festival"/>
    <hyperlink ref="G25" r:id="rId44" display="https://www.bigpicturealliance.org/"/>
    <hyperlink ref="J25" r:id="rId45" display="https://cinespeak.org/2024/04/02/list-of-film-festivals-in-philadelphia/"/>
    <hyperlink ref="J26" r:id="rId46" display="https://philmclub.com/philmclub017"/>
    <hyperlink ref="J27" r:id="rId47" display="https://www.inquirer.com/arts/uarts-lightbox-film-center-reopening-20241003.html"/>
    <hyperlink ref="G28" r:id="rId48" display="https://myphillypark.org/2026-movies-in-philly-parks/"/>
    <hyperlink ref="J28" r:id="rId49" display="https://www.phila.gov/2026-07-10-enjoy-free-outdoor-movies-at-philadelphia-parks/"/>
    <hyperlink ref="J29" r:id="rId50" display="https://cinespeak.org/2024/04/02/list-of-film-festivals-in-philadelphia/"/>
    <hyperlink ref="G30" r:id="rId51" display="https://cinemastudies.sas.upenn.edu/"/>
    <hyperlink ref="J30" r:id="rId52" display="https://philmclub.com/philmclub017"/>
    <hyperlink ref="G31" r:id="rId53" display="https://film.org/"/>
    <hyperlink ref="J31" r:id="rId54" display="https://film.org/"/>
    <hyperlink ref="G32" r:id="rId55" display="https://sjfilmoffice.com/"/>
    <hyperlink ref="J32" r:id="rId56" display="https://sjfilmoffice.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4.433593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30"/>
    <col collapsed="false" customWidth="true" hidden="false" outlineLevel="0" max="4" min="4" style="0" width="28"/>
    <col collapsed="false" customWidth="true" hidden="false" outlineLevel="0" max="5" min="5" style="0" width="34"/>
    <col collapsed="false" customWidth="true" hidden="false" outlineLevel="0" max="6" min="6" style="0" width="24"/>
    <col collapsed="false" customWidth="true" hidden="false" outlineLevel="0" max="7" min="7" style="0" width="32"/>
    <col collapsed="false" customWidth="true" hidden="false" outlineLevel="0" max="8" min="8" style="0" width="10"/>
    <col collapsed="false" customWidth="true" hidden="false" outlineLevel="0" max="9" min="9" style="0" width="16"/>
    <col collapsed="false" customWidth="true" hidden="false" outlineLevel="0" max="10" min="10" style="0" width="22"/>
    <col collapsed="false" customWidth="true" hidden="false" outlineLevel="0" max="11" min="11" style="0" width="40"/>
    <col collapsed="false" customWidth="true" hidden="false" outlineLevel="0" max="12" min="12" style="0" width="46"/>
    <col collapsed="false" customWidth="true" hidden="false" outlineLevel="0" max="26" min="13" style="0" width="8.71"/>
  </cols>
  <sheetData>
    <row r="1" customFormat="false" ht="31.5" hidden="false" customHeight="true" outlineLevel="0" collapsed="false">
      <c r="A1" s="11" t="s">
        <v>60</v>
      </c>
      <c r="B1" s="11" t="s">
        <v>791</v>
      </c>
      <c r="C1" s="11" t="s">
        <v>792</v>
      </c>
      <c r="D1" s="11" t="s">
        <v>565</v>
      </c>
      <c r="E1" s="11" t="s">
        <v>793</v>
      </c>
      <c r="F1" s="11" t="s">
        <v>794</v>
      </c>
      <c r="G1" s="11" t="s">
        <v>795</v>
      </c>
      <c r="H1" s="11" t="s">
        <v>71</v>
      </c>
      <c r="I1" s="11" t="s">
        <v>796</v>
      </c>
      <c r="J1" s="11" t="s">
        <v>570</v>
      </c>
      <c r="K1" s="11" t="s">
        <v>355</v>
      </c>
      <c r="L1" s="11" t="s">
        <v>356</v>
      </c>
    </row>
    <row r="2" customFormat="false" ht="35.05" hidden="false" customHeight="false" outlineLevel="0" collapsed="false">
      <c r="A2" s="12" t="s">
        <v>797</v>
      </c>
      <c r="B2" s="12" t="s">
        <v>798</v>
      </c>
      <c r="C2" s="12" t="s">
        <v>799</v>
      </c>
      <c r="D2" s="12" t="s">
        <v>800</v>
      </c>
      <c r="E2" s="12" t="s">
        <v>801</v>
      </c>
      <c r="F2" s="12" t="s">
        <v>802</v>
      </c>
      <c r="G2" s="12" t="s">
        <v>803</v>
      </c>
      <c r="H2" s="12" t="s">
        <v>90</v>
      </c>
      <c r="I2" s="12" t="s">
        <v>804</v>
      </c>
      <c r="J2" s="12" t="s">
        <v>805</v>
      </c>
      <c r="K2" s="13" t="s">
        <v>104</v>
      </c>
      <c r="L2" s="12" t="s">
        <v>806</v>
      </c>
    </row>
    <row r="3" customFormat="false" ht="15" hidden="false" customHeight="false" outlineLevel="0" collapsed="false">
      <c r="A3" s="12" t="s">
        <v>807</v>
      </c>
      <c r="B3" s="12" t="s">
        <v>808</v>
      </c>
      <c r="C3" s="12" t="s">
        <v>799</v>
      </c>
      <c r="D3" s="12" t="s">
        <v>809</v>
      </c>
      <c r="E3" s="12" t="s">
        <v>810</v>
      </c>
      <c r="F3" s="12" t="s">
        <v>811</v>
      </c>
      <c r="G3" s="12" t="s">
        <v>107</v>
      </c>
      <c r="H3" s="12" t="s">
        <v>90</v>
      </c>
      <c r="I3" s="12" t="s">
        <v>804</v>
      </c>
      <c r="J3" s="12" t="s">
        <v>812</v>
      </c>
      <c r="K3" s="13" t="s">
        <v>813</v>
      </c>
      <c r="L3" s="12"/>
    </row>
    <row r="4" customFormat="false" ht="23.85" hidden="false" customHeight="false" outlineLevel="0" collapsed="false">
      <c r="A4" s="12" t="s">
        <v>814</v>
      </c>
      <c r="B4" s="12" t="s">
        <v>815</v>
      </c>
      <c r="C4" s="12" t="s">
        <v>362</v>
      </c>
      <c r="D4" s="12" t="s">
        <v>586</v>
      </c>
      <c r="E4" s="12" t="s">
        <v>816</v>
      </c>
      <c r="F4" s="12" t="s">
        <v>817</v>
      </c>
      <c r="G4" s="12" t="s">
        <v>818</v>
      </c>
      <c r="H4" s="12" t="s">
        <v>90</v>
      </c>
      <c r="I4" s="12" t="s">
        <v>819</v>
      </c>
      <c r="J4" s="12" t="s">
        <v>812</v>
      </c>
      <c r="K4" s="13" t="s">
        <v>371</v>
      </c>
      <c r="L4" s="12" t="s">
        <v>820</v>
      </c>
    </row>
    <row r="5" customFormat="false" ht="23.85" hidden="false" customHeight="false" outlineLevel="0" collapsed="false">
      <c r="A5" s="12" t="s">
        <v>821</v>
      </c>
      <c r="B5" s="12" t="s">
        <v>822</v>
      </c>
      <c r="C5" s="12" t="s">
        <v>823</v>
      </c>
      <c r="D5" s="12" t="s">
        <v>601</v>
      </c>
      <c r="E5" s="12" t="s">
        <v>824</v>
      </c>
      <c r="F5" s="12" t="s">
        <v>825</v>
      </c>
      <c r="G5" s="12" t="s">
        <v>826</v>
      </c>
      <c r="H5" s="12" t="s">
        <v>90</v>
      </c>
      <c r="I5" s="12" t="s">
        <v>827</v>
      </c>
      <c r="J5" s="12" t="s">
        <v>805</v>
      </c>
      <c r="K5" s="13" t="s">
        <v>828</v>
      </c>
      <c r="L5" s="12" t="s">
        <v>829</v>
      </c>
    </row>
    <row r="6" customFormat="false" ht="23.85" hidden="false" customHeight="false" outlineLevel="0" collapsed="false">
      <c r="A6" s="12" t="s">
        <v>830</v>
      </c>
      <c r="B6" s="12" t="s">
        <v>831</v>
      </c>
      <c r="C6" s="12" t="s">
        <v>832</v>
      </c>
      <c r="D6" s="12" t="s">
        <v>616</v>
      </c>
      <c r="E6" s="12" t="s">
        <v>833</v>
      </c>
      <c r="F6" s="12" t="s">
        <v>825</v>
      </c>
      <c r="G6" s="12" t="s">
        <v>617</v>
      </c>
      <c r="H6" s="12" t="s">
        <v>90</v>
      </c>
      <c r="I6" s="12" t="s">
        <v>834</v>
      </c>
      <c r="J6" s="12" t="s">
        <v>805</v>
      </c>
      <c r="K6" s="13" t="s">
        <v>619</v>
      </c>
      <c r="L6" s="12" t="s">
        <v>835</v>
      </c>
    </row>
    <row r="7" customFormat="false" ht="15" hidden="false" customHeight="false" outlineLevel="0" collapsed="false">
      <c r="A7" s="12" t="s">
        <v>836</v>
      </c>
      <c r="B7" s="12" t="s">
        <v>724</v>
      </c>
      <c r="C7" s="12" t="s">
        <v>381</v>
      </c>
      <c r="D7" s="12" t="s">
        <v>837</v>
      </c>
      <c r="E7" s="12" t="s">
        <v>838</v>
      </c>
      <c r="F7" s="12" t="s">
        <v>839</v>
      </c>
      <c r="G7" s="12" t="s">
        <v>377</v>
      </c>
      <c r="H7" s="12" t="s">
        <v>90</v>
      </c>
      <c r="I7" s="12" t="s">
        <v>840</v>
      </c>
      <c r="J7" s="12" t="s">
        <v>812</v>
      </c>
      <c r="K7" s="13" t="s">
        <v>382</v>
      </c>
      <c r="L7" s="12" t="s">
        <v>841</v>
      </c>
    </row>
    <row r="8" customFormat="false" ht="23.85" hidden="false" customHeight="false" outlineLevel="0" collapsed="false">
      <c r="A8" s="12" t="s">
        <v>842</v>
      </c>
      <c r="B8" s="12" t="s">
        <v>608</v>
      </c>
      <c r="C8" s="12" t="s">
        <v>843</v>
      </c>
      <c r="D8" s="12" t="s">
        <v>609</v>
      </c>
      <c r="E8" s="12" t="s">
        <v>844</v>
      </c>
      <c r="F8" s="12" t="s">
        <v>845</v>
      </c>
      <c r="G8" s="12" t="s">
        <v>826</v>
      </c>
      <c r="H8" s="12" t="s">
        <v>90</v>
      </c>
      <c r="I8" s="12" t="s">
        <v>846</v>
      </c>
      <c r="J8" s="12" t="s">
        <v>847</v>
      </c>
      <c r="K8" s="13" t="s">
        <v>170</v>
      </c>
      <c r="L8" s="12"/>
    </row>
    <row r="9" customFormat="false" ht="15" hidden="false" customHeight="false" outlineLevel="0" collapsed="false">
      <c r="A9" s="12" t="s">
        <v>848</v>
      </c>
      <c r="B9" s="12" t="s">
        <v>849</v>
      </c>
      <c r="C9" s="12" t="s">
        <v>849</v>
      </c>
      <c r="D9" s="12" t="s">
        <v>850</v>
      </c>
      <c r="E9" s="12" t="s">
        <v>851</v>
      </c>
      <c r="F9" s="12" t="s">
        <v>852</v>
      </c>
      <c r="G9" s="12" t="s">
        <v>241</v>
      </c>
      <c r="H9" s="12" t="s">
        <v>90</v>
      </c>
      <c r="I9" s="12" t="s">
        <v>853</v>
      </c>
      <c r="J9" s="12" t="s">
        <v>805</v>
      </c>
      <c r="K9" s="13" t="s">
        <v>854</v>
      </c>
      <c r="L9" s="12" t="s">
        <v>855</v>
      </c>
    </row>
    <row r="10" customFormat="false" ht="15" hidden="false" customHeight="false" outlineLevel="0" collapsed="false">
      <c r="A10" s="12" t="s">
        <v>856</v>
      </c>
      <c r="B10" s="12" t="s">
        <v>857</v>
      </c>
      <c r="C10" s="12" t="s">
        <v>857</v>
      </c>
      <c r="D10" s="12" t="s">
        <v>858</v>
      </c>
      <c r="E10" s="12" t="s">
        <v>859</v>
      </c>
      <c r="F10" s="12" t="s">
        <v>860</v>
      </c>
      <c r="G10" s="12" t="s">
        <v>861</v>
      </c>
      <c r="H10" s="12" t="s">
        <v>90</v>
      </c>
      <c r="I10" s="12" t="s">
        <v>853</v>
      </c>
      <c r="J10" s="12" t="s">
        <v>862</v>
      </c>
      <c r="K10" s="13" t="s">
        <v>863</v>
      </c>
      <c r="L10" s="12"/>
    </row>
    <row r="11" customFormat="false" ht="15" hidden="false" customHeight="false" outlineLevel="0" collapsed="false">
      <c r="A11" s="12" t="s">
        <v>864</v>
      </c>
      <c r="B11" s="12" t="s">
        <v>865</v>
      </c>
      <c r="C11" s="12" t="s">
        <v>450</v>
      </c>
      <c r="D11" s="12" t="s">
        <v>866</v>
      </c>
      <c r="E11" s="12" t="s">
        <v>867</v>
      </c>
      <c r="F11" s="12" t="s">
        <v>811</v>
      </c>
      <c r="G11" s="12" t="s">
        <v>868</v>
      </c>
      <c r="H11" s="12" t="s">
        <v>90</v>
      </c>
      <c r="I11" s="12" t="s">
        <v>869</v>
      </c>
      <c r="J11" s="12" t="s">
        <v>812</v>
      </c>
      <c r="K11" s="13" t="s">
        <v>421</v>
      </c>
      <c r="L11" s="12"/>
    </row>
    <row r="12" customFormat="false" ht="23.85" hidden="false" customHeight="false" outlineLevel="0" collapsed="false">
      <c r="A12" s="14" t="s">
        <v>870</v>
      </c>
      <c r="B12" s="14" t="s">
        <v>871</v>
      </c>
      <c r="C12" s="14" t="s">
        <v>498</v>
      </c>
      <c r="D12" s="14" t="s">
        <v>872</v>
      </c>
      <c r="E12" s="14" t="s">
        <v>873</v>
      </c>
      <c r="F12" s="14" t="s">
        <v>852</v>
      </c>
      <c r="G12" s="14" t="s">
        <v>874</v>
      </c>
      <c r="H12" s="14" t="s">
        <v>90</v>
      </c>
      <c r="I12" s="14" t="s">
        <v>853</v>
      </c>
      <c r="J12" s="14" t="s">
        <v>737</v>
      </c>
      <c r="K12" s="15" t="s">
        <v>315</v>
      </c>
      <c r="L12" s="14"/>
    </row>
    <row r="13" customFormat="false" ht="23.85" hidden="false" customHeight="false" outlineLevel="0" collapsed="false">
      <c r="A13" s="12" t="s">
        <v>875</v>
      </c>
      <c r="B13" s="12" t="s">
        <v>876</v>
      </c>
      <c r="C13" s="12" t="s">
        <v>877</v>
      </c>
      <c r="D13" s="12" t="s">
        <v>878</v>
      </c>
      <c r="E13" s="12" t="s">
        <v>879</v>
      </c>
      <c r="F13" s="12" t="s">
        <v>880</v>
      </c>
      <c r="G13" s="12" t="s">
        <v>803</v>
      </c>
      <c r="H13" s="12" t="s">
        <v>90</v>
      </c>
      <c r="I13" s="12" t="s">
        <v>804</v>
      </c>
      <c r="J13" s="12" t="s">
        <v>812</v>
      </c>
      <c r="K13" s="13" t="s">
        <v>630</v>
      </c>
      <c r="L13" s="12"/>
    </row>
    <row r="14" customFormat="false" ht="35.05" hidden="false" customHeight="false" outlineLevel="0" collapsed="false">
      <c r="A14" s="14" t="s">
        <v>881</v>
      </c>
      <c r="B14" s="14" t="s">
        <v>882</v>
      </c>
      <c r="C14" s="14" t="s">
        <v>883</v>
      </c>
      <c r="D14" s="14" t="s">
        <v>884</v>
      </c>
      <c r="E14" s="14" t="s">
        <v>885</v>
      </c>
      <c r="F14" s="14" t="s">
        <v>886</v>
      </c>
      <c r="G14" s="14" t="s">
        <v>887</v>
      </c>
      <c r="H14" s="14" t="s">
        <v>90</v>
      </c>
      <c r="I14" s="14" t="s">
        <v>368</v>
      </c>
      <c r="J14" s="14" t="s">
        <v>888</v>
      </c>
      <c r="K14" s="15" t="s">
        <v>889</v>
      </c>
      <c r="L14" s="14" t="s">
        <v>890</v>
      </c>
    </row>
    <row r="15" customFormat="false" ht="15" hidden="false" customHeight="false" outlineLevel="0" collapsed="false">
      <c r="A15" s="14" t="s">
        <v>891</v>
      </c>
      <c r="B15" s="14" t="s">
        <v>892</v>
      </c>
      <c r="C15" s="14" t="s">
        <v>893</v>
      </c>
      <c r="D15" s="14" t="s">
        <v>894</v>
      </c>
      <c r="E15" s="14" t="s">
        <v>895</v>
      </c>
      <c r="F15" s="14" t="s">
        <v>896</v>
      </c>
      <c r="G15" s="14" t="s">
        <v>310</v>
      </c>
      <c r="H15" s="14" t="s">
        <v>90</v>
      </c>
      <c r="I15" s="14" t="s">
        <v>368</v>
      </c>
      <c r="J15" s="14" t="s">
        <v>897</v>
      </c>
      <c r="K15" s="15" t="s">
        <v>463</v>
      </c>
      <c r="L15" s="14"/>
    </row>
    <row r="16" customFormat="false" ht="15" hidden="false" customHeight="false" outlineLevel="0" collapsed="false">
      <c r="A16" s="14" t="s">
        <v>898</v>
      </c>
      <c r="B16" s="14" t="s">
        <v>899</v>
      </c>
      <c r="C16" s="14" t="s">
        <v>899</v>
      </c>
      <c r="D16" s="14" t="s">
        <v>900</v>
      </c>
      <c r="E16" s="14" t="s">
        <v>895</v>
      </c>
      <c r="F16" s="14" t="s">
        <v>901</v>
      </c>
      <c r="G16" s="14" t="s">
        <v>310</v>
      </c>
      <c r="H16" s="14" t="s">
        <v>90</v>
      </c>
      <c r="I16" s="14" t="s">
        <v>368</v>
      </c>
      <c r="J16" s="14" t="s">
        <v>897</v>
      </c>
      <c r="K16" s="15" t="s">
        <v>463</v>
      </c>
      <c r="L16" s="14"/>
    </row>
    <row r="17" customFormat="false" ht="15" hidden="false" customHeight="false" outlineLevel="0" collapsed="false">
      <c r="A17" s="14" t="s">
        <v>902</v>
      </c>
      <c r="B17" s="14" t="s">
        <v>903</v>
      </c>
      <c r="C17" s="14" t="s">
        <v>904</v>
      </c>
      <c r="D17" s="14" t="s">
        <v>905</v>
      </c>
      <c r="E17" s="14" t="s">
        <v>895</v>
      </c>
      <c r="F17" s="14" t="s">
        <v>906</v>
      </c>
      <c r="G17" s="14" t="s">
        <v>907</v>
      </c>
      <c r="H17" s="14" t="s">
        <v>90</v>
      </c>
      <c r="I17" s="14" t="s">
        <v>368</v>
      </c>
      <c r="J17" s="14" t="s">
        <v>897</v>
      </c>
      <c r="K17" s="15" t="s">
        <v>463</v>
      </c>
      <c r="L17" s="14"/>
    </row>
    <row r="18" customFormat="false" ht="23.85" hidden="false" customHeight="false" outlineLevel="0" collapsed="false">
      <c r="A18" s="14" t="s">
        <v>908</v>
      </c>
      <c r="B18" s="14" t="s">
        <v>909</v>
      </c>
      <c r="C18" s="14" t="s">
        <v>454</v>
      </c>
      <c r="D18" s="14" t="s">
        <v>910</v>
      </c>
      <c r="E18" s="14" t="s">
        <v>895</v>
      </c>
      <c r="F18" s="14" t="s">
        <v>911</v>
      </c>
      <c r="G18" s="14" t="s">
        <v>459</v>
      </c>
      <c r="H18" s="14" t="s">
        <v>90</v>
      </c>
      <c r="I18" s="14" t="s">
        <v>840</v>
      </c>
      <c r="J18" s="14" t="s">
        <v>897</v>
      </c>
      <c r="K18" s="15" t="s">
        <v>463</v>
      </c>
      <c r="L18" s="14"/>
    </row>
    <row r="19" customFormat="false" ht="15" hidden="false" customHeight="false" outlineLevel="0" collapsed="false">
      <c r="A19" s="14" t="s">
        <v>912</v>
      </c>
      <c r="B19" s="14" t="s">
        <v>913</v>
      </c>
      <c r="C19" s="14" t="s">
        <v>732</v>
      </c>
      <c r="D19" s="14" t="s">
        <v>734</v>
      </c>
      <c r="E19" s="14" t="s">
        <v>895</v>
      </c>
      <c r="F19" s="14" t="s">
        <v>914</v>
      </c>
      <c r="G19" s="14" t="s">
        <v>310</v>
      </c>
      <c r="H19" s="14" t="s">
        <v>90</v>
      </c>
      <c r="I19" s="14" t="s">
        <v>368</v>
      </c>
      <c r="J19" s="14" t="s">
        <v>897</v>
      </c>
      <c r="K19" s="15" t="s">
        <v>463</v>
      </c>
      <c r="L19" s="14"/>
    </row>
    <row r="20" customFormat="false" ht="23.85" hidden="false" customHeight="false" outlineLevel="0" collapsed="false">
      <c r="A20" s="14" t="s">
        <v>915</v>
      </c>
      <c r="B20" s="14" t="s">
        <v>916</v>
      </c>
      <c r="C20" s="14" t="s">
        <v>917</v>
      </c>
      <c r="D20" s="14" t="s">
        <v>918</v>
      </c>
      <c r="E20" s="14" t="s">
        <v>895</v>
      </c>
      <c r="F20" s="14" t="s">
        <v>919</v>
      </c>
      <c r="G20" s="14" t="s">
        <v>310</v>
      </c>
      <c r="H20" s="14" t="s">
        <v>90</v>
      </c>
      <c r="I20" s="14" t="s">
        <v>368</v>
      </c>
      <c r="J20" s="14" t="s">
        <v>897</v>
      </c>
      <c r="K20" s="15" t="s">
        <v>463</v>
      </c>
      <c r="L20" s="14" t="s">
        <v>920</v>
      </c>
    </row>
    <row r="21" customFormat="false" ht="15.75" hidden="false" customHeight="true" outlineLevel="0" collapsed="false">
      <c r="A21" s="14" t="s">
        <v>921</v>
      </c>
      <c r="B21" s="14" t="s">
        <v>922</v>
      </c>
      <c r="C21" s="14" t="s">
        <v>923</v>
      </c>
      <c r="D21" s="14" t="s">
        <v>924</v>
      </c>
      <c r="E21" s="14" t="s">
        <v>895</v>
      </c>
      <c r="F21" s="14" t="s">
        <v>925</v>
      </c>
      <c r="G21" s="14" t="s">
        <v>926</v>
      </c>
      <c r="H21" s="14" t="s">
        <v>90</v>
      </c>
      <c r="I21" s="14" t="s">
        <v>927</v>
      </c>
      <c r="J21" s="14" t="s">
        <v>897</v>
      </c>
      <c r="K21" s="15" t="s">
        <v>463</v>
      </c>
      <c r="L21" s="14"/>
    </row>
    <row r="22" customFormat="false" ht="15.75" hidden="false" customHeight="true" outlineLevel="0" collapsed="false">
      <c r="A22" s="14" t="s">
        <v>928</v>
      </c>
      <c r="B22" s="14" t="s">
        <v>929</v>
      </c>
      <c r="C22" s="14" t="s">
        <v>930</v>
      </c>
      <c r="D22" s="14" t="s">
        <v>924</v>
      </c>
      <c r="E22" s="14" t="s">
        <v>895</v>
      </c>
      <c r="F22" s="14" t="s">
        <v>931</v>
      </c>
      <c r="G22" s="14" t="s">
        <v>177</v>
      </c>
      <c r="H22" s="14" t="s">
        <v>90</v>
      </c>
      <c r="I22" s="14" t="s">
        <v>368</v>
      </c>
      <c r="J22" s="14" t="s">
        <v>897</v>
      </c>
      <c r="K22" s="15" t="s">
        <v>463</v>
      </c>
      <c r="L22" s="14"/>
    </row>
    <row r="23" customFormat="false" ht="15.75" hidden="false" customHeight="true" outlineLevel="0" collapsed="false">
      <c r="A23" s="14" t="s">
        <v>932</v>
      </c>
      <c r="B23" s="14" t="s">
        <v>933</v>
      </c>
      <c r="C23" s="14" t="s">
        <v>934</v>
      </c>
      <c r="D23" s="14" t="s">
        <v>935</v>
      </c>
      <c r="E23" s="14" t="s">
        <v>936</v>
      </c>
      <c r="F23" s="14" t="s">
        <v>937</v>
      </c>
      <c r="G23" s="14" t="s">
        <v>230</v>
      </c>
      <c r="H23" s="14" t="s">
        <v>90</v>
      </c>
      <c r="I23" s="14" t="s">
        <v>938</v>
      </c>
      <c r="J23" s="14" t="s">
        <v>939</v>
      </c>
      <c r="K23" s="14"/>
      <c r="L23" s="14" t="s">
        <v>940</v>
      </c>
    </row>
    <row r="24" customFormat="false" ht="15.75" hidden="false" customHeight="true" outlineLevel="0" collapsed="false">
      <c r="A24" s="12" t="s">
        <v>941</v>
      </c>
      <c r="B24" s="12" t="s">
        <v>942</v>
      </c>
      <c r="C24" s="12" t="s">
        <v>943</v>
      </c>
      <c r="D24" s="12" t="s">
        <v>944</v>
      </c>
      <c r="E24" s="12" t="s">
        <v>945</v>
      </c>
      <c r="F24" s="12" t="s">
        <v>946</v>
      </c>
      <c r="G24" s="12" t="s">
        <v>81</v>
      </c>
      <c r="H24" s="12" t="s">
        <v>90</v>
      </c>
      <c r="I24" s="12" t="s">
        <v>804</v>
      </c>
      <c r="J24" s="12" t="s">
        <v>812</v>
      </c>
      <c r="K24" s="13" t="s">
        <v>630</v>
      </c>
      <c r="L24" s="12"/>
    </row>
    <row r="25" customFormat="false" ht="15.75" hidden="false" customHeight="true" outlineLevel="0" collapsed="false">
      <c r="A25" s="12" t="s">
        <v>947</v>
      </c>
      <c r="B25" s="12" t="s">
        <v>948</v>
      </c>
      <c r="C25" s="12" t="s">
        <v>949</v>
      </c>
      <c r="D25" s="12" t="s">
        <v>950</v>
      </c>
      <c r="E25" s="12" t="s">
        <v>951</v>
      </c>
      <c r="F25" s="12" t="s">
        <v>952</v>
      </c>
      <c r="G25" s="12" t="s">
        <v>934</v>
      </c>
      <c r="H25" s="12" t="s">
        <v>90</v>
      </c>
      <c r="I25" s="12" t="s">
        <v>953</v>
      </c>
      <c r="J25" s="12" t="s">
        <v>812</v>
      </c>
      <c r="K25" s="13" t="s">
        <v>954</v>
      </c>
      <c r="L25" s="12" t="s">
        <v>955</v>
      </c>
    </row>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L24"/>
  <hyperlinks>
    <hyperlink ref="K2" r:id="rId1" display="https://filmadelphia.org/"/>
    <hyperlink ref="K3" r:id="rId2" display="https://filmadelphia.org/springfest/"/>
    <hyperlink ref="K4" r:id="rId3" display="https://blackstarprojects.org/press/blackstar-film-festival-2026-lineup"/>
    <hyperlink ref="K5" r:id="rId4" display="https://asianfilmfestivals.com/2026/02/16/philadelphia-asian-american-film-festival-call-for-entry-2026/"/>
    <hyperlink ref="K6" r:id="rId5" display="https://phillyjfm.org/"/>
    <hyperlink ref="K7" r:id="rId6" display="https://www.theatreexile.org/renters-in-exile/philadelphia-unnamed-film-festival"/>
    <hyperlink ref="K8" r:id="rId7" display="https://www.phlaff.org/los-news/peoples-cinema-club-los-news"/>
    <hyperlink ref="K9" r:id="rId8" display="https://patch.com/pennsylvania/newtown-pa/bucks-county-filmfest-finds-new-home-newtown"/>
    <hyperlink ref="K10" r:id="rId9" display="https://filmfreeway.com/NewHopeFilmFestival"/>
    <hyperlink ref="K11" r:id="rId10" display="https://www.broadstreetreview.com/features/meet-10-philly-film-clubs-welcoming-cinephiles-from-across-the-region"/>
    <hyperlink ref="K12" r:id="rId11" display="https://wilmington.film/more-than-a-movie-festival/"/>
    <hyperlink ref="K13" r:id="rId12" display="https://filmadelphia.org/news/april-june-2026-curated-programming-lineup/"/>
    <hyperlink ref="K14" r:id="rId13" display="https://www.facebook.com/qFLIXfestivals/"/>
    <hyperlink ref="K15" r:id="rId14" display="https://cinespeak.org/2024/04/02/list-of-film-festivals-in-philadelphia/"/>
    <hyperlink ref="K16" r:id="rId15" display="https://cinespeak.org/2024/04/02/list-of-film-festivals-in-philadelphia/"/>
    <hyperlink ref="K17" r:id="rId16" display="https://cinespeak.org/2024/04/02/list-of-film-festivals-in-philadelphia/"/>
    <hyperlink ref="K18" r:id="rId17" display="https://cinespeak.org/2024/04/02/list-of-film-festivals-in-philadelphia/"/>
    <hyperlink ref="K19" r:id="rId18" display="https://cinespeak.org/2024/04/02/list-of-film-festivals-in-philadelphia/"/>
    <hyperlink ref="K20" r:id="rId19" display="https://cinespeak.org/2024/04/02/list-of-film-festivals-in-philadelphia/"/>
    <hyperlink ref="K21" r:id="rId20" display="https://cinespeak.org/2024/04/02/list-of-film-festivals-in-philadelphia/"/>
    <hyperlink ref="K22" r:id="rId21" display="https://cinespeak.org/2024/04/02/list-of-film-festivals-in-philadelphia/"/>
    <hyperlink ref="K24" r:id="rId22" display="https://filmadelphia.org/news/april-june-2026-curated-programming-lineup/"/>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4.43359375" defaultRowHeight="15"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34"/>
    <col collapsed="false" customWidth="true" hidden="false" outlineLevel="0" max="4" min="4" style="0" width="30"/>
    <col collapsed="false" customWidth="true" hidden="false" outlineLevel="0" max="5" min="5" style="0" width="26"/>
    <col collapsed="false" customWidth="true" hidden="false" outlineLevel="0" max="6" min="6" style="0" width="32"/>
    <col collapsed="false" customWidth="true" hidden="false" outlineLevel="0" max="7" min="7" style="0" width="18"/>
    <col collapsed="false" customWidth="true" hidden="false" outlineLevel="0" max="8" min="8" style="0" width="44"/>
    <col collapsed="false" customWidth="true" hidden="false" outlineLevel="0" max="9" min="9" style="0" width="40"/>
    <col collapsed="false" customWidth="true" hidden="false" outlineLevel="0" max="26" min="10" style="0" width="8.71"/>
  </cols>
  <sheetData>
    <row r="1" customFormat="false" ht="31.5" hidden="false" customHeight="true" outlineLevel="0" collapsed="false">
      <c r="A1" s="11" t="s">
        <v>60</v>
      </c>
      <c r="B1" s="11" t="s">
        <v>956</v>
      </c>
      <c r="C1" s="11" t="s">
        <v>957</v>
      </c>
      <c r="D1" s="11" t="s">
        <v>351</v>
      </c>
      <c r="E1" s="11" t="s">
        <v>567</v>
      </c>
      <c r="F1" s="11" t="s">
        <v>958</v>
      </c>
      <c r="G1" s="11" t="s">
        <v>959</v>
      </c>
      <c r="H1" s="11" t="s">
        <v>355</v>
      </c>
      <c r="I1" s="11" t="s">
        <v>356</v>
      </c>
    </row>
    <row r="2" customFormat="false" ht="23.85" hidden="false" customHeight="false" outlineLevel="0" collapsed="false">
      <c r="A2" s="12" t="s">
        <v>960</v>
      </c>
      <c r="B2" s="12" t="s">
        <v>961</v>
      </c>
      <c r="C2" s="12" t="s">
        <v>650</v>
      </c>
      <c r="D2" s="12" t="s">
        <v>653</v>
      </c>
      <c r="E2" s="12" t="s">
        <v>962</v>
      </c>
      <c r="F2" s="12" t="s">
        <v>652</v>
      </c>
      <c r="G2" s="12" t="s">
        <v>963</v>
      </c>
      <c r="H2" s="13" t="s">
        <v>161</v>
      </c>
      <c r="I2" s="12"/>
    </row>
    <row r="3" customFormat="false" ht="23.85" hidden="false" customHeight="false" outlineLevel="0" collapsed="false">
      <c r="A3" s="12" t="s">
        <v>964</v>
      </c>
      <c r="B3" s="12" t="s">
        <v>965</v>
      </c>
      <c r="C3" s="12" t="s">
        <v>275</v>
      </c>
      <c r="D3" s="12" t="s">
        <v>966</v>
      </c>
      <c r="E3" s="12" t="s">
        <v>967</v>
      </c>
      <c r="F3" s="12" t="s">
        <v>968</v>
      </c>
      <c r="G3" s="12" t="s">
        <v>969</v>
      </c>
      <c r="H3" s="13" t="s">
        <v>281</v>
      </c>
      <c r="I3" s="12"/>
    </row>
    <row r="4" customFormat="false" ht="15" hidden="false" customHeight="false" outlineLevel="0" collapsed="false">
      <c r="A4" s="12" t="s">
        <v>970</v>
      </c>
      <c r="B4" s="12" t="s">
        <v>971</v>
      </c>
      <c r="C4" s="12" t="s">
        <v>972</v>
      </c>
      <c r="D4" s="12" t="s">
        <v>973</v>
      </c>
      <c r="E4" s="12" t="s">
        <v>974</v>
      </c>
      <c r="F4" s="12" t="s">
        <v>975</v>
      </c>
      <c r="G4" s="12" t="s">
        <v>310</v>
      </c>
      <c r="H4" s="13" t="s">
        <v>170</v>
      </c>
      <c r="I4" s="12" t="s">
        <v>976</v>
      </c>
    </row>
    <row r="5" customFormat="false" ht="15" hidden="false" customHeight="false" outlineLevel="0" collapsed="false">
      <c r="A5" s="12" t="s">
        <v>977</v>
      </c>
      <c r="B5" s="12" t="s">
        <v>978</v>
      </c>
      <c r="C5" s="12" t="s">
        <v>148</v>
      </c>
      <c r="D5" s="12" t="s">
        <v>979</v>
      </c>
      <c r="E5" s="12" t="s">
        <v>708</v>
      </c>
      <c r="F5" s="12" t="s">
        <v>980</v>
      </c>
      <c r="G5" s="12" t="s">
        <v>310</v>
      </c>
      <c r="H5" s="13" t="s">
        <v>981</v>
      </c>
      <c r="I5" s="12"/>
    </row>
    <row r="6" customFormat="false" ht="23.85" hidden="false" customHeight="false" outlineLevel="0" collapsed="false">
      <c r="A6" s="12" t="s">
        <v>982</v>
      </c>
      <c r="B6" s="12" t="s">
        <v>983</v>
      </c>
      <c r="C6" s="12" t="s">
        <v>148</v>
      </c>
      <c r="D6" s="12" t="s">
        <v>979</v>
      </c>
      <c r="E6" s="12" t="s">
        <v>636</v>
      </c>
      <c r="F6" s="12" t="s">
        <v>984</v>
      </c>
      <c r="G6" s="12" t="s">
        <v>310</v>
      </c>
      <c r="H6" s="13" t="s">
        <v>981</v>
      </c>
      <c r="I6" s="12"/>
    </row>
    <row r="7" customFormat="false" ht="23.85" hidden="false" customHeight="false" outlineLevel="0" collapsed="false">
      <c r="A7" s="12" t="s">
        <v>985</v>
      </c>
      <c r="B7" s="12" t="s">
        <v>986</v>
      </c>
      <c r="C7" s="12" t="s">
        <v>148</v>
      </c>
      <c r="D7" s="12" t="s">
        <v>987</v>
      </c>
      <c r="E7" s="12" t="s">
        <v>988</v>
      </c>
      <c r="F7" s="12" t="s">
        <v>989</v>
      </c>
      <c r="G7" s="12" t="s">
        <v>969</v>
      </c>
      <c r="H7" s="13" t="s">
        <v>981</v>
      </c>
      <c r="I7" s="12" t="s">
        <v>990</v>
      </c>
    </row>
    <row r="8" customFormat="false" ht="23.85" hidden="false" customHeight="false" outlineLevel="0" collapsed="false">
      <c r="A8" s="12" t="s">
        <v>991</v>
      </c>
      <c r="B8" s="12" t="s">
        <v>992</v>
      </c>
      <c r="C8" s="12" t="s">
        <v>993</v>
      </c>
      <c r="D8" s="12" t="s">
        <v>753</v>
      </c>
      <c r="E8" s="12" t="s">
        <v>994</v>
      </c>
      <c r="F8" s="12" t="s">
        <v>995</v>
      </c>
      <c r="G8" s="12" t="s">
        <v>969</v>
      </c>
      <c r="H8" s="13" t="s">
        <v>755</v>
      </c>
      <c r="I8" s="12" t="s">
        <v>996</v>
      </c>
    </row>
    <row r="9" customFormat="false" ht="15" hidden="false" customHeight="false" outlineLevel="0" collapsed="false">
      <c r="A9" s="12" t="s">
        <v>997</v>
      </c>
      <c r="B9" s="12" t="s">
        <v>998</v>
      </c>
      <c r="C9" s="12" t="s">
        <v>999</v>
      </c>
      <c r="D9" s="12" t="s">
        <v>81</v>
      </c>
      <c r="E9" s="12" t="s">
        <v>1000</v>
      </c>
      <c r="F9" s="12" t="s">
        <v>1001</v>
      </c>
      <c r="G9" s="12" t="s">
        <v>1002</v>
      </c>
      <c r="H9" s="13" t="s">
        <v>1003</v>
      </c>
      <c r="I9" s="12"/>
    </row>
    <row r="10" customFormat="false" ht="15" hidden="false" customHeight="false" outlineLevel="0" collapsed="false">
      <c r="A10" s="12" t="s">
        <v>1004</v>
      </c>
      <c r="B10" s="12" t="s">
        <v>1005</v>
      </c>
      <c r="C10" s="12" t="s">
        <v>999</v>
      </c>
      <c r="D10" s="12" t="s">
        <v>803</v>
      </c>
      <c r="E10" s="12" t="s">
        <v>1006</v>
      </c>
      <c r="F10" s="12" t="s">
        <v>1007</v>
      </c>
      <c r="G10" s="12" t="s">
        <v>1002</v>
      </c>
      <c r="H10" s="13" t="s">
        <v>104</v>
      </c>
      <c r="I10" s="12"/>
    </row>
    <row r="11" customFormat="false" ht="23.85" hidden="false" customHeight="false" outlineLevel="0" collapsed="false">
      <c r="A11" s="12" t="s">
        <v>1008</v>
      </c>
      <c r="B11" s="12" t="s">
        <v>1009</v>
      </c>
      <c r="C11" s="12" t="s">
        <v>999</v>
      </c>
      <c r="D11" s="12" t="s">
        <v>1010</v>
      </c>
      <c r="E11" s="12" t="s">
        <v>636</v>
      </c>
      <c r="F11" s="12" t="s">
        <v>1011</v>
      </c>
      <c r="G11" s="12" t="s">
        <v>969</v>
      </c>
      <c r="H11" s="13" t="s">
        <v>1012</v>
      </c>
      <c r="I11" s="12"/>
    </row>
    <row r="12" customFormat="false" ht="15" hidden="false" customHeight="false" outlineLevel="0" collapsed="false">
      <c r="A12" s="12" t="s">
        <v>1013</v>
      </c>
      <c r="B12" s="12" t="s">
        <v>1014</v>
      </c>
      <c r="C12" s="12" t="s">
        <v>999</v>
      </c>
      <c r="D12" s="12" t="s">
        <v>803</v>
      </c>
      <c r="E12" s="12" t="s">
        <v>636</v>
      </c>
      <c r="F12" s="12" t="s">
        <v>1015</v>
      </c>
      <c r="G12" s="12" t="s">
        <v>310</v>
      </c>
      <c r="H12" s="13" t="s">
        <v>104</v>
      </c>
      <c r="I12" s="12" t="s">
        <v>1016</v>
      </c>
    </row>
    <row r="13" customFormat="false" ht="23.85" hidden="false" customHeight="false" outlineLevel="0" collapsed="false">
      <c r="A13" s="12" t="s">
        <v>1017</v>
      </c>
      <c r="B13" s="12" t="s">
        <v>1018</v>
      </c>
      <c r="C13" s="12" t="s">
        <v>999</v>
      </c>
      <c r="D13" s="12" t="s">
        <v>803</v>
      </c>
      <c r="E13" s="12" t="s">
        <v>708</v>
      </c>
      <c r="F13" s="12" t="s">
        <v>1019</v>
      </c>
      <c r="G13" s="12" t="s">
        <v>969</v>
      </c>
      <c r="H13" s="13" t="s">
        <v>1003</v>
      </c>
      <c r="I13" s="12" t="s">
        <v>1020</v>
      </c>
    </row>
    <row r="14" customFormat="false" ht="15" hidden="false" customHeight="false" outlineLevel="0" collapsed="false">
      <c r="A14" s="12" t="s">
        <v>1021</v>
      </c>
      <c r="B14" s="12" t="s">
        <v>431</v>
      </c>
      <c r="C14" s="12" t="s">
        <v>431</v>
      </c>
      <c r="D14" s="12" t="s">
        <v>429</v>
      </c>
      <c r="E14" s="12" t="s">
        <v>1022</v>
      </c>
      <c r="F14" s="12" t="s">
        <v>1023</v>
      </c>
      <c r="G14" s="12" t="s">
        <v>969</v>
      </c>
      <c r="H14" s="13" t="s">
        <v>421</v>
      </c>
      <c r="I14" s="12"/>
    </row>
    <row r="15" customFormat="false" ht="15" hidden="false" customHeight="false" outlineLevel="0" collapsed="false">
      <c r="A15" s="12" t="s">
        <v>1024</v>
      </c>
      <c r="B15" s="12" t="s">
        <v>1025</v>
      </c>
      <c r="C15" s="12" t="s">
        <v>704</v>
      </c>
      <c r="D15" s="12" t="s">
        <v>707</v>
      </c>
      <c r="E15" s="12" t="s">
        <v>708</v>
      </c>
      <c r="F15" s="12" t="s">
        <v>1026</v>
      </c>
      <c r="G15" s="12" t="s">
        <v>310</v>
      </c>
      <c r="H15" s="13" t="s">
        <v>421</v>
      </c>
      <c r="I15" s="12"/>
    </row>
    <row r="16" customFormat="false" ht="15" hidden="false" customHeight="false" outlineLevel="0" collapsed="false">
      <c r="A16" s="12" t="s">
        <v>1027</v>
      </c>
      <c r="B16" s="12" t="s">
        <v>1028</v>
      </c>
      <c r="C16" s="12" t="s">
        <v>717</v>
      </c>
      <c r="D16" s="12" t="s">
        <v>310</v>
      </c>
      <c r="E16" s="12" t="s">
        <v>310</v>
      </c>
      <c r="F16" s="12" t="s">
        <v>1029</v>
      </c>
      <c r="G16" s="12" t="s">
        <v>310</v>
      </c>
      <c r="H16" s="13" t="s">
        <v>721</v>
      </c>
      <c r="I16" s="12"/>
    </row>
    <row r="17" customFormat="false" ht="15" hidden="false" customHeight="false" outlineLevel="0" collapsed="false">
      <c r="A17" s="12" t="s">
        <v>1030</v>
      </c>
      <c r="B17" s="12" t="s">
        <v>1031</v>
      </c>
      <c r="C17" s="12" t="s">
        <v>177</v>
      </c>
      <c r="D17" s="12" t="s">
        <v>1032</v>
      </c>
      <c r="E17" s="12" t="s">
        <v>644</v>
      </c>
      <c r="F17" s="12" t="s">
        <v>1033</v>
      </c>
      <c r="G17" s="12" t="s">
        <v>1002</v>
      </c>
      <c r="H17" s="13" t="s">
        <v>648</v>
      </c>
      <c r="I17" s="12"/>
    </row>
    <row r="18" customFormat="false" ht="23.85" hidden="false" customHeight="false" outlineLevel="0" collapsed="false">
      <c r="A18" s="12" t="s">
        <v>1034</v>
      </c>
      <c r="B18" s="12" t="s">
        <v>1035</v>
      </c>
      <c r="C18" s="12" t="s">
        <v>1036</v>
      </c>
      <c r="D18" s="12" t="s">
        <v>1032</v>
      </c>
      <c r="E18" s="12" t="s">
        <v>1037</v>
      </c>
      <c r="F18" s="12" t="s">
        <v>1038</v>
      </c>
      <c r="G18" s="12" t="s">
        <v>1002</v>
      </c>
      <c r="H18" s="13" t="s">
        <v>648</v>
      </c>
      <c r="I18" s="12"/>
    </row>
    <row r="19" customFormat="false" ht="15" hidden="false" customHeight="false" outlineLevel="0" collapsed="false">
      <c r="A19" s="12" t="s">
        <v>1039</v>
      </c>
      <c r="B19" s="12" t="s">
        <v>1040</v>
      </c>
      <c r="C19" s="12" t="s">
        <v>1041</v>
      </c>
      <c r="D19" s="12" t="s">
        <v>1042</v>
      </c>
      <c r="E19" s="12" t="s">
        <v>636</v>
      </c>
      <c r="F19" s="12" t="s">
        <v>1043</v>
      </c>
      <c r="G19" s="12" t="s">
        <v>1002</v>
      </c>
      <c r="H19" s="13" t="s">
        <v>648</v>
      </c>
      <c r="I19" s="12"/>
    </row>
    <row r="20" customFormat="false" ht="15" hidden="false" customHeight="false" outlineLevel="0" collapsed="false">
      <c r="A20" s="12" t="s">
        <v>1044</v>
      </c>
      <c r="B20" s="12" t="s">
        <v>1045</v>
      </c>
      <c r="C20" s="12" t="s">
        <v>241</v>
      </c>
      <c r="D20" s="12" t="s">
        <v>1046</v>
      </c>
      <c r="E20" s="12" t="s">
        <v>636</v>
      </c>
      <c r="F20" s="12" t="s">
        <v>1047</v>
      </c>
      <c r="G20" s="12" t="s">
        <v>1002</v>
      </c>
      <c r="H20" s="13" t="s">
        <v>247</v>
      </c>
      <c r="I20" s="12"/>
    </row>
    <row r="21" customFormat="false" ht="15.75" hidden="false" customHeight="true" outlineLevel="0" collapsed="false">
      <c r="A21" s="12" t="s">
        <v>1048</v>
      </c>
      <c r="B21" s="12" t="s">
        <v>1049</v>
      </c>
      <c r="C21" s="12" t="s">
        <v>1050</v>
      </c>
      <c r="D21" s="12" t="s">
        <v>1051</v>
      </c>
      <c r="E21" s="12" t="s">
        <v>1052</v>
      </c>
      <c r="F21" s="12" t="s">
        <v>1053</v>
      </c>
      <c r="G21" s="12" t="s">
        <v>969</v>
      </c>
      <c r="H21" s="13" t="s">
        <v>648</v>
      </c>
      <c r="I21" s="12"/>
    </row>
    <row r="22" customFormat="false" ht="15.75" hidden="false" customHeight="true" outlineLevel="0" collapsed="false">
      <c r="A22" s="12" t="s">
        <v>1054</v>
      </c>
      <c r="B22" s="12" t="s">
        <v>1055</v>
      </c>
      <c r="C22" s="12" t="s">
        <v>1056</v>
      </c>
      <c r="D22" s="12" t="s">
        <v>508</v>
      </c>
      <c r="E22" s="12" t="s">
        <v>1057</v>
      </c>
      <c r="F22" s="12" t="s">
        <v>1058</v>
      </c>
      <c r="G22" s="12" t="s">
        <v>1059</v>
      </c>
      <c r="H22" s="13" t="s">
        <v>511</v>
      </c>
      <c r="I22" s="12" t="s">
        <v>1060</v>
      </c>
    </row>
    <row r="23" customFormat="false" ht="15.75" hidden="false" customHeight="true" outlineLevel="0" collapsed="false">
      <c r="A23" s="12" t="s">
        <v>1061</v>
      </c>
      <c r="B23" s="12" t="s">
        <v>522</v>
      </c>
      <c r="C23" s="12" t="s">
        <v>523</v>
      </c>
      <c r="D23" s="12" t="s">
        <v>1062</v>
      </c>
      <c r="E23" s="12" t="s">
        <v>1063</v>
      </c>
      <c r="F23" s="12" t="s">
        <v>1064</v>
      </c>
      <c r="G23" s="12" t="s">
        <v>969</v>
      </c>
      <c r="H23" s="13" t="s">
        <v>524</v>
      </c>
      <c r="I23" s="12" t="s">
        <v>1065</v>
      </c>
    </row>
    <row r="24" customFormat="false" ht="15.75" hidden="false" customHeight="true" outlineLevel="0" collapsed="false">
      <c r="A24" s="12" t="s">
        <v>1066</v>
      </c>
      <c r="B24" s="12" t="s">
        <v>1067</v>
      </c>
      <c r="C24" s="12" t="s">
        <v>454</v>
      </c>
      <c r="D24" s="12" t="s">
        <v>1068</v>
      </c>
      <c r="E24" s="12" t="s">
        <v>1052</v>
      </c>
      <c r="F24" s="12" t="s">
        <v>1069</v>
      </c>
      <c r="G24" s="12" t="s">
        <v>969</v>
      </c>
      <c r="H24" s="13" t="s">
        <v>511</v>
      </c>
      <c r="I24" s="12" t="s">
        <v>1070</v>
      </c>
    </row>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I21"/>
  <hyperlinks>
    <hyperlink ref="H2" r:id="rId1" display="https://woodmeremuseum.org/happenings/film"/>
    <hyperlink ref="H3" r:id="rId2" display="https://www1.villanova.edu/university/student-life/student-involvement/cultural-film-series.html"/>
    <hyperlink ref="H4" r:id="rId3" display="https://www.phlaff.org/los-news/peoples-cinema-club-los-news"/>
    <hyperlink ref="H5" r:id="rId4" display="https://scribe.org/about-us"/>
    <hyperlink ref="H6" r:id="rId5" display="https://scribe.org/about-us"/>
    <hyperlink ref="H7" r:id="rId6" display="https://scribe.org/about-us"/>
    <hyperlink ref="H8" r:id="rId7" display="https://myphillypark.org/2026-movies-in-philly-parks/"/>
    <hyperlink ref="H9" r:id="rId8" display="https://filmadelphia.org/film-series/"/>
    <hyperlink ref="H10" r:id="rId9" display="https://filmadelphia.org/"/>
    <hyperlink ref="H11" r:id="rId10" display="https://filmadelphia.org/series/community-screenings/"/>
    <hyperlink ref="H12" r:id="rId11" display="https://filmadelphia.org/"/>
    <hyperlink ref="H13" r:id="rId12" display="https://filmadelphia.org/film-series/"/>
    <hyperlink ref="H14" r:id="rId13" display="https://www.broadstreetreview.com/features/meet-10-philly-film-clubs-welcoming-cinephiles-from-across-the-region"/>
    <hyperlink ref="H15" r:id="rId14" display="https://www.broadstreetreview.com/features/meet-10-philly-film-clubs-welcoming-cinephiles-from-across-the-region"/>
    <hyperlink ref="H16" r:id="rId15" display="https://www.broadstreetreview.com/features/rough-cuts-builds-new-community-as-phillys-only-open-mic-for-filmmakers"/>
    <hyperlink ref="H17" r:id="rId16" display="https://philmclub.com/philmclub017"/>
    <hyperlink ref="H18" r:id="rId17" display="https://philmclub.com/philmclub017"/>
    <hyperlink ref="H19" r:id="rId18" display="https://philmclub.com/philmclub017"/>
    <hyperlink ref="H20" r:id="rId19" display="https://www.thenewtowntheatre.com/"/>
    <hyperlink ref="H21" r:id="rId20" display="https://philmclub.com/philmclub017"/>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4.43359375" defaultRowHeight="15" zeroHeight="false" outlineLevelRow="0" outlineLevelCol="0"/>
  <cols>
    <col collapsed="false" customWidth="true" hidden="false" outlineLevel="0" max="1" min="1" style="0" width="6"/>
    <col collapsed="false" customWidth="true" hidden="false" outlineLevel="0" max="2" min="2" style="0" width="38"/>
    <col collapsed="false" customWidth="true" hidden="false" outlineLevel="0" max="3" min="3" style="0" width="48"/>
    <col collapsed="false" customWidth="true" hidden="false" outlineLevel="0" max="4" min="4" style="0" width="44"/>
    <col collapsed="false" customWidth="true" hidden="false" outlineLevel="0" max="5" min="5" style="0" width="48"/>
    <col collapsed="false" customWidth="true" hidden="false" outlineLevel="0" max="6" min="6" style="0" width="24"/>
    <col collapsed="false" customWidth="true" hidden="false" outlineLevel="0" max="26" min="7" style="0" width="8.71"/>
  </cols>
  <sheetData>
    <row r="1" customFormat="false" ht="31.5" hidden="false" customHeight="true" outlineLevel="0" collapsed="false">
      <c r="A1" s="11" t="s">
        <v>60</v>
      </c>
      <c r="B1" s="11" t="s">
        <v>1071</v>
      </c>
      <c r="C1" s="11" t="s">
        <v>1072</v>
      </c>
      <c r="D1" s="11" t="s">
        <v>1073</v>
      </c>
      <c r="E1" s="11" t="s">
        <v>1074</v>
      </c>
      <c r="F1" s="11" t="s">
        <v>1075</v>
      </c>
    </row>
    <row r="2" customFormat="false" ht="35.05" hidden="false" customHeight="false" outlineLevel="0" collapsed="false">
      <c r="A2" s="12" t="s">
        <v>1076</v>
      </c>
      <c r="B2" s="12" t="s">
        <v>1077</v>
      </c>
      <c r="C2" s="12" t="s">
        <v>1078</v>
      </c>
      <c r="D2" s="12" t="s">
        <v>1079</v>
      </c>
      <c r="E2" s="12" t="s">
        <v>1080</v>
      </c>
      <c r="F2" s="18" t="s">
        <v>1081</v>
      </c>
    </row>
    <row r="3" customFormat="false" ht="23.85" hidden="false" customHeight="false" outlineLevel="0" collapsed="false">
      <c r="A3" s="12" t="s">
        <v>1082</v>
      </c>
      <c r="B3" s="12" t="s">
        <v>1083</v>
      </c>
      <c r="C3" s="12" t="s">
        <v>1084</v>
      </c>
      <c r="D3" s="12" t="s">
        <v>1085</v>
      </c>
      <c r="E3" s="12" t="s">
        <v>1086</v>
      </c>
      <c r="F3" s="18" t="s">
        <v>1087</v>
      </c>
    </row>
    <row r="4" customFormat="false" ht="23.85" hidden="false" customHeight="false" outlineLevel="0" collapsed="false">
      <c r="A4" s="12" t="s">
        <v>1088</v>
      </c>
      <c r="B4" s="12" t="s">
        <v>1089</v>
      </c>
      <c r="C4" s="12" t="s">
        <v>1090</v>
      </c>
      <c r="D4" s="12" t="s">
        <v>1091</v>
      </c>
      <c r="E4" s="12" t="s">
        <v>1092</v>
      </c>
      <c r="F4" s="18" t="s">
        <v>1081</v>
      </c>
    </row>
    <row r="5" customFormat="false" ht="23.85" hidden="false" customHeight="false" outlineLevel="0" collapsed="false">
      <c r="A5" s="12" t="s">
        <v>1093</v>
      </c>
      <c r="B5" s="12" t="s">
        <v>1094</v>
      </c>
      <c r="C5" s="12" t="s">
        <v>1095</v>
      </c>
      <c r="D5" s="12" t="s">
        <v>1096</v>
      </c>
      <c r="E5" s="12" t="s">
        <v>1097</v>
      </c>
      <c r="F5" s="18" t="s">
        <v>1087</v>
      </c>
    </row>
    <row r="6" customFormat="false" ht="23.85" hidden="false" customHeight="false" outlineLevel="0" collapsed="false">
      <c r="A6" s="12" t="s">
        <v>1098</v>
      </c>
      <c r="B6" s="12" t="s">
        <v>1099</v>
      </c>
      <c r="C6" s="12" t="s">
        <v>1100</v>
      </c>
      <c r="D6" s="12" t="s">
        <v>1101</v>
      </c>
      <c r="E6" s="12" t="s">
        <v>1102</v>
      </c>
      <c r="F6" s="18" t="s">
        <v>1081</v>
      </c>
    </row>
    <row r="7" customFormat="false" ht="23.85" hidden="false" customHeight="false" outlineLevel="0" collapsed="false">
      <c r="A7" s="12" t="s">
        <v>1103</v>
      </c>
      <c r="B7" s="12" t="s">
        <v>1104</v>
      </c>
      <c r="C7" s="12" t="s">
        <v>1105</v>
      </c>
      <c r="D7" s="12" t="s">
        <v>1106</v>
      </c>
      <c r="E7" s="12" t="s">
        <v>1107</v>
      </c>
      <c r="F7" s="18" t="s">
        <v>1108</v>
      </c>
    </row>
    <row r="8" customFormat="false" ht="15" hidden="false" customHeight="false" outlineLevel="0" collapsed="false">
      <c r="A8" s="12" t="s">
        <v>1109</v>
      </c>
      <c r="B8" s="12" t="s">
        <v>1110</v>
      </c>
      <c r="C8" s="12" t="s">
        <v>1111</v>
      </c>
      <c r="D8" s="12" t="s">
        <v>1112</v>
      </c>
      <c r="E8" s="12" t="s">
        <v>1113</v>
      </c>
      <c r="F8" s="18" t="s">
        <v>1087</v>
      </c>
    </row>
    <row r="9" customFormat="false" ht="23.85" hidden="false" customHeight="false" outlineLevel="0" collapsed="false">
      <c r="A9" s="12" t="s">
        <v>1114</v>
      </c>
      <c r="B9" s="12" t="s">
        <v>1115</v>
      </c>
      <c r="C9" s="12" t="s">
        <v>1116</v>
      </c>
      <c r="D9" s="12" t="s">
        <v>1117</v>
      </c>
      <c r="E9" s="12" t="s">
        <v>1118</v>
      </c>
      <c r="F9" s="18" t="s">
        <v>1087</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F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4.43359375" defaultRowHeight="15" zeroHeight="false" outlineLevelRow="0" outlineLevelCol="0"/>
  <cols>
    <col collapsed="false" customWidth="true" hidden="false" outlineLevel="0" max="1" min="1" style="0" width="22"/>
    <col collapsed="false" customWidth="true" hidden="false" outlineLevel="0" max="2" min="2" style="0" width="36"/>
    <col collapsed="false" customWidth="true" hidden="false" outlineLevel="0" max="3" min="3" style="0" width="34"/>
    <col collapsed="false" customWidth="true" hidden="false" outlineLevel="0" max="4" min="4" style="0" width="28"/>
    <col collapsed="false" customWidth="true" hidden="false" outlineLevel="0" max="5" min="5" style="0" width="50"/>
    <col collapsed="false" customWidth="true" hidden="false" outlineLevel="0" max="26" min="6" style="0" width="8.71"/>
  </cols>
  <sheetData>
    <row r="1" customFormat="false" ht="31.5" hidden="false" customHeight="true" outlineLevel="0" collapsed="false">
      <c r="A1" s="11" t="s">
        <v>1119</v>
      </c>
      <c r="B1" s="11" t="s">
        <v>1120</v>
      </c>
      <c r="C1" s="11" t="s">
        <v>1121</v>
      </c>
      <c r="D1" s="11" t="s">
        <v>1122</v>
      </c>
      <c r="E1" s="11" t="s">
        <v>355</v>
      </c>
    </row>
    <row r="2" customFormat="false" ht="15" hidden="false" customHeight="false" outlineLevel="0" collapsed="false">
      <c r="A2" s="12" t="s">
        <v>1123</v>
      </c>
      <c r="B2" s="12" t="s">
        <v>1124</v>
      </c>
      <c r="C2" s="12" t="s">
        <v>1125</v>
      </c>
      <c r="D2" s="12" t="s">
        <v>1126</v>
      </c>
      <c r="E2" s="13" t="s">
        <v>123</v>
      </c>
    </row>
    <row r="3" customFormat="false" ht="15" hidden="false" customHeight="false" outlineLevel="0" collapsed="false">
      <c r="A3" s="12" t="s">
        <v>1123</v>
      </c>
      <c r="B3" s="12" t="s">
        <v>1127</v>
      </c>
      <c r="C3" s="12" t="s">
        <v>1128</v>
      </c>
      <c r="D3" s="12" t="s">
        <v>1126</v>
      </c>
      <c r="E3" s="13" t="s">
        <v>123</v>
      </c>
    </row>
    <row r="4" customFormat="false" ht="15" hidden="false" customHeight="false" outlineLevel="0" collapsed="false">
      <c r="A4" s="12" t="s">
        <v>1129</v>
      </c>
      <c r="B4" s="12" t="s">
        <v>1130</v>
      </c>
      <c r="C4" s="12" t="s">
        <v>1131</v>
      </c>
      <c r="D4" s="12" t="s">
        <v>1126</v>
      </c>
      <c r="E4" s="13" t="s">
        <v>123</v>
      </c>
    </row>
    <row r="5" customFormat="false" ht="15" hidden="false" customHeight="false" outlineLevel="0" collapsed="false">
      <c r="A5" s="12" t="s">
        <v>1132</v>
      </c>
      <c r="B5" s="12" t="s">
        <v>1133</v>
      </c>
      <c r="C5" s="12" t="s">
        <v>1134</v>
      </c>
      <c r="D5" s="12" t="s">
        <v>1135</v>
      </c>
      <c r="E5" s="13" t="s">
        <v>123</v>
      </c>
    </row>
    <row r="6" customFormat="false" ht="15" hidden="false" customHeight="false" outlineLevel="0" collapsed="false">
      <c r="A6" s="12" t="s">
        <v>1132</v>
      </c>
      <c r="B6" s="12" t="s">
        <v>1136</v>
      </c>
      <c r="C6" s="12" t="s">
        <v>1137</v>
      </c>
      <c r="D6" s="12" t="s">
        <v>1138</v>
      </c>
      <c r="E6" s="13" t="s">
        <v>123</v>
      </c>
    </row>
    <row r="7" customFormat="false" ht="15" hidden="false" customHeight="false" outlineLevel="0" collapsed="false">
      <c r="A7" s="12" t="s">
        <v>1123</v>
      </c>
      <c r="B7" s="12" t="s">
        <v>1139</v>
      </c>
      <c r="C7" s="12" t="s">
        <v>1140</v>
      </c>
      <c r="D7" s="12" t="s">
        <v>1141</v>
      </c>
      <c r="E7" s="13" t="s">
        <v>123</v>
      </c>
    </row>
    <row r="8" customFormat="false" ht="15" hidden="false" customHeight="false" outlineLevel="0" collapsed="false">
      <c r="A8" s="12" t="s">
        <v>1142</v>
      </c>
      <c r="B8" s="12" t="s">
        <v>1143</v>
      </c>
      <c r="C8" s="12" t="s">
        <v>1144</v>
      </c>
      <c r="D8" s="12" t="s">
        <v>1145</v>
      </c>
      <c r="E8" s="13" t="s">
        <v>123</v>
      </c>
    </row>
    <row r="9" customFormat="false" ht="15" hidden="false" customHeight="false" outlineLevel="0" collapsed="false">
      <c r="A9" s="12" t="s">
        <v>1123</v>
      </c>
      <c r="B9" s="12" t="s">
        <v>1146</v>
      </c>
      <c r="C9" s="12" t="s">
        <v>1147</v>
      </c>
      <c r="D9" s="12" t="s">
        <v>1148</v>
      </c>
      <c r="E9" s="13" t="s">
        <v>123</v>
      </c>
    </row>
    <row r="10" customFormat="false" ht="15" hidden="false" customHeight="false" outlineLevel="0" collapsed="false">
      <c r="A10" s="12" t="s">
        <v>1149</v>
      </c>
      <c r="B10" s="12" t="s">
        <v>1150</v>
      </c>
      <c r="C10" s="12" t="s">
        <v>1151</v>
      </c>
      <c r="D10" s="12" t="s">
        <v>1152</v>
      </c>
      <c r="E10" s="13" t="s">
        <v>123</v>
      </c>
    </row>
    <row r="11" customFormat="false" ht="15" hidden="false" customHeight="false" outlineLevel="0" collapsed="false">
      <c r="A11" s="12" t="s">
        <v>1132</v>
      </c>
      <c r="B11" s="12" t="s">
        <v>1153</v>
      </c>
      <c r="C11" s="12" t="s">
        <v>1154</v>
      </c>
      <c r="D11" s="12" t="s">
        <v>1155</v>
      </c>
      <c r="E11" s="13" t="s">
        <v>123</v>
      </c>
    </row>
    <row r="12" customFormat="false" ht="15" hidden="false" customHeight="false" outlineLevel="0" collapsed="false">
      <c r="A12" s="12" t="s">
        <v>1142</v>
      </c>
      <c r="B12" s="12" t="s">
        <v>1156</v>
      </c>
      <c r="C12" s="12" t="s">
        <v>1157</v>
      </c>
      <c r="D12" s="12" t="s">
        <v>1158</v>
      </c>
      <c r="E12" s="13" t="s">
        <v>123</v>
      </c>
    </row>
    <row r="13" customFormat="false" ht="15" hidden="false" customHeight="false" outlineLevel="0" collapsed="false">
      <c r="A13" s="12" t="s">
        <v>1149</v>
      </c>
      <c r="B13" s="12" t="s">
        <v>1159</v>
      </c>
      <c r="C13" s="12" t="s">
        <v>1160</v>
      </c>
      <c r="D13" s="12" t="s">
        <v>1161</v>
      </c>
      <c r="E13" s="13" t="s">
        <v>123</v>
      </c>
    </row>
    <row r="14" customFormat="false" ht="15" hidden="false" customHeight="false" outlineLevel="0" collapsed="false">
      <c r="A14" s="12" t="s">
        <v>1123</v>
      </c>
      <c r="B14" s="12" t="s">
        <v>1162</v>
      </c>
      <c r="C14" s="12" t="s">
        <v>1163</v>
      </c>
      <c r="D14" s="12" t="s">
        <v>1164</v>
      </c>
      <c r="E14" s="13" t="s">
        <v>123</v>
      </c>
    </row>
    <row r="15" customFormat="false" ht="15" hidden="false" customHeight="false" outlineLevel="0" collapsed="false">
      <c r="A15" s="12" t="s">
        <v>1129</v>
      </c>
      <c r="B15" s="12" t="s">
        <v>1165</v>
      </c>
      <c r="C15" s="12" t="s">
        <v>1166</v>
      </c>
      <c r="D15" s="12" t="s">
        <v>1167</v>
      </c>
      <c r="E15" s="13" t="s">
        <v>123</v>
      </c>
    </row>
    <row r="16" customFormat="false" ht="15" hidden="false" customHeight="false" outlineLevel="0" collapsed="false">
      <c r="A16" s="12" t="s">
        <v>1123</v>
      </c>
      <c r="B16" s="12" t="s">
        <v>1168</v>
      </c>
      <c r="C16" s="12" t="s">
        <v>1169</v>
      </c>
      <c r="D16" s="12" t="s">
        <v>1170</v>
      </c>
      <c r="E16" s="13" t="s">
        <v>123</v>
      </c>
    </row>
    <row r="17" customFormat="false" ht="15" hidden="false" customHeight="false" outlineLevel="0" collapsed="false">
      <c r="A17" s="12" t="s">
        <v>1149</v>
      </c>
      <c r="B17" s="12" t="s">
        <v>1171</v>
      </c>
      <c r="C17" s="12" t="s">
        <v>368</v>
      </c>
      <c r="D17" s="12" t="s">
        <v>1172</v>
      </c>
      <c r="E17" s="13" t="s">
        <v>1173</v>
      </c>
    </row>
    <row r="18" customFormat="false" ht="15" hidden="false" customHeight="false" outlineLevel="0" collapsed="false">
      <c r="A18" s="12" t="s">
        <v>1123</v>
      </c>
      <c r="B18" s="12" t="s">
        <v>1174</v>
      </c>
      <c r="C18" s="12" t="s">
        <v>368</v>
      </c>
      <c r="D18" s="12" t="s">
        <v>1172</v>
      </c>
      <c r="E18" s="13" t="s">
        <v>1173</v>
      </c>
    </row>
    <row r="19" customFormat="false" ht="15" hidden="false" customHeight="false" outlineLevel="0" collapsed="false">
      <c r="A19" s="12" t="s">
        <v>1149</v>
      </c>
      <c r="B19" s="12" t="s">
        <v>1175</v>
      </c>
      <c r="C19" s="12" t="s">
        <v>1176</v>
      </c>
      <c r="D19" s="12" t="s">
        <v>1177</v>
      </c>
      <c r="E19" s="13" t="s">
        <v>304</v>
      </c>
    </row>
    <row r="20" customFormat="false" ht="15" hidden="false" customHeight="false" outlineLevel="0" collapsed="false">
      <c r="A20" s="12" t="s">
        <v>1123</v>
      </c>
      <c r="B20" s="12" t="s">
        <v>1178</v>
      </c>
      <c r="C20" s="12" t="s">
        <v>368</v>
      </c>
      <c r="D20" s="12" t="s">
        <v>1179</v>
      </c>
      <c r="E20" s="13" t="s">
        <v>1173</v>
      </c>
    </row>
    <row r="21" customFormat="false" ht="15.75" hidden="false" customHeight="true" outlineLevel="0" collapsed="false">
      <c r="A21" s="12" t="s">
        <v>1142</v>
      </c>
      <c r="B21" s="12" t="s">
        <v>1180</v>
      </c>
      <c r="C21" s="12" t="s">
        <v>368</v>
      </c>
      <c r="D21" s="12" t="s">
        <v>1181</v>
      </c>
      <c r="E21" s="13" t="s">
        <v>1173</v>
      </c>
    </row>
    <row r="22" customFormat="false" ht="15.75" hidden="false" customHeight="true" outlineLevel="0" collapsed="false">
      <c r="A22" s="12" t="s">
        <v>1129</v>
      </c>
      <c r="B22" s="12" t="s">
        <v>1182</v>
      </c>
      <c r="C22" s="12" t="s">
        <v>1183</v>
      </c>
      <c r="D22" s="12" t="s">
        <v>1184</v>
      </c>
      <c r="E22" s="13" t="s">
        <v>304</v>
      </c>
    </row>
    <row r="23" customFormat="false" ht="15.75" hidden="false" customHeight="true" outlineLevel="0" collapsed="false">
      <c r="A23" s="12" t="s">
        <v>1129</v>
      </c>
      <c r="B23" s="12" t="s">
        <v>1185</v>
      </c>
      <c r="C23" s="12" t="s">
        <v>1186</v>
      </c>
      <c r="D23" s="12" t="s">
        <v>1177</v>
      </c>
      <c r="E23" s="13" t="s">
        <v>304</v>
      </c>
    </row>
    <row r="24" customFormat="false" ht="15.75" hidden="false" customHeight="true" outlineLevel="0" collapsed="false"/>
    <row r="25" customFormat="false" ht="15.75" hidden="false" customHeight="true" outlineLevel="0" collapsed="false">
      <c r="A25" s="2" t="s">
        <v>1187</v>
      </c>
    </row>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E23"/>
  <hyperlinks>
    <hyperlink ref="E2" r:id="rId1" display="https://billypenn.com/2026/09/10/movie-theaters-philly/"/>
    <hyperlink ref="E3" r:id="rId2" display="https://billypenn.com/2026/09/10/movie-theaters-philly/"/>
    <hyperlink ref="E4" r:id="rId3" display="https://billypenn.com/2026/09/10/movie-theaters-philly/"/>
    <hyperlink ref="E5" r:id="rId4" display="https://billypenn.com/2026/09/10/movie-theaters-philly/"/>
    <hyperlink ref="E6" r:id="rId5" display="https://billypenn.com/2026/09/10/movie-theaters-philly/"/>
    <hyperlink ref="E7" r:id="rId6" display="https://billypenn.com/2026/09/10/movie-theaters-philly/"/>
    <hyperlink ref="E8" r:id="rId7" display="https://billypenn.com/2026/09/10/movie-theaters-philly/"/>
    <hyperlink ref="E9" r:id="rId8" display="https://billypenn.com/2026/09/10/movie-theaters-philly/"/>
    <hyperlink ref="E10" r:id="rId9" display="https://billypenn.com/2026/09/10/movie-theaters-philly/"/>
    <hyperlink ref="E11" r:id="rId10" display="https://billypenn.com/2026/09/10/movie-theaters-philly/"/>
    <hyperlink ref="E12" r:id="rId11" display="https://billypenn.com/2026/09/10/movie-theaters-philly/"/>
    <hyperlink ref="E13" r:id="rId12" display="https://billypenn.com/2026/09/10/movie-theaters-philly/"/>
    <hyperlink ref="E14" r:id="rId13" display="https://billypenn.com/2026/09/10/movie-theaters-philly/"/>
    <hyperlink ref="E15" r:id="rId14" display="https://billypenn.com/2026/09/10/movie-theaters-philly/"/>
    <hyperlink ref="E16" r:id="rId15" display="https://billypenn.com/2026/09/10/movie-theaters-philly/"/>
    <hyperlink ref="E17" r:id="rId16" display="https://www.yelp.com/search?cflt=movietheaters&amp;find_loc=Delaware+County,+PA"/>
    <hyperlink ref="E18" r:id="rId17" display="https://www.yelp.com/search?cflt=movietheaters&amp;find_loc=Delaware+County,+PA"/>
    <hyperlink ref="E19" r:id="rId18" display="https://www.imdb.com/showtimes/cinema/US/ci1041599/US/19707/"/>
    <hyperlink ref="E20" r:id="rId19" display="https://www.yelp.com/search?cflt=movietheaters&amp;find_loc=Delaware+County,+PA"/>
    <hyperlink ref="E21" r:id="rId20" display="https://www.yelp.com/search?cflt=movietheaters&amp;find_loc=Delaware+County,+PA"/>
    <hyperlink ref="E22" r:id="rId21" display="https://www.imdb.com/showtimes/cinema/US/ci1041599/US/19707/"/>
    <hyperlink ref="E23" r:id="rId22" display="https://www.imdb.com/showtimes/cinema/US/ci1041599/US/19707/"/>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4.43359375" defaultRowHeight="15" zeroHeight="false" outlineLevelRow="0" outlineLevelCol="0"/>
  <cols>
    <col collapsed="false" customWidth="true" hidden="false" outlineLevel="0" max="1" min="1" style="0" width="30"/>
    <col collapsed="false" customWidth="true" hidden="false" outlineLevel="0" max="2" min="2" style="0" width="32"/>
    <col collapsed="false" customWidth="true" hidden="false" outlineLevel="0" max="3" min="3" style="0" width="52"/>
    <col collapsed="false" customWidth="true" hidden="false" outlineLevel="0" max="4" min="4" style="0" width="44"/>
    <col collapsed="false" customWidth="true" hidden="false" outlineLevel="0" max="5" min="5" style="0" width="50"/>
    <col collapsed="false" customWidth="true" hidden="false" outlineLevel="0" max="26" min="6" style="0" width="8.71"/>
  </cols>
  <sheetData>
    <row r="1" customFormat="false" ht="31.5" hidden="false" customHeight="true" outlineLevel="0" collapsed="false">
      <c r="A1" s="11" t="s">
        <v>1188</v>
      </c>
      <c r="B1" s="11" t="s">
        <v>1120</v>
      </c>
      <c r="C1" s="11" t="s">
        <v>1189</v>
      </c>
      <c r="D1" s="11" t="s">
        <v>1190</v>
      </c>
      <c r="E1" s="11" t="s">
        <v>355</v>
      </c>
    </row>
    <row r="2" customFormat="false" ht="23.85" hidden="false" customHeight="false" outlineLevel="0" collapsed="false">
      <c r="A2" s="12" t="s">
        <v>1191</v>
      </c>
      <c r="B2" s="12" t="s">
        <v>1192</v>
      </c>
      <c r="C2" s="12" t="s">
        <v>1193</v>
      </c>
      <c r="D2" s="12" t="s">
        <v>1194</v>
      </c>
      <c r="E2" s="13" t="s">
        <v>1195</v>
      </c>
    </row>
    <row r="3" customFormat="false" ht="23.85" hidden="false" customHeight="false" outlineLevel="0" collapsed="false">
      <c r="A3" s="12" t="s">
        <v>1196</v>
      </c>
      <c r="B3" s="12" t="s">
        <v>1197</v>
      </c>
      <c r="C3" s="12" t="s">
        <v>1198</v>
      </c>
      <c r="D3" s="12" t="s">
        <v>1199</v>
      </c>
      <c r="E3" s="13" t="s">
        <v>1200</v>
      </c>
    </row>
    <row r="4" customFormat="false" ht="23.85" hidden="false" customHeight="false" outlineLevel="0" collapsed="false">
      <c r="A4" s="12" t="s">
        <v>1201</v>
      </c>
      <c r="B4" s="12" t="s">
        <v>378</v>
      </c>
      <c r="C4" s="12" t="s">
        <v>1202</v>
      </c>
      <c r="D4" s="12" t="s">
        <v>1203</v>
      </c>
      <c r="E4" s="13" t="s">
        <v>123</v>
      </c>
    </row>
    <row r="5" customFormat="false" ht="15" hidden="false" customHeight="false" outlineLevel="0" collapsed="false">
      <c r="A5" s="12" t="s">
        <v>1204</v>
      </c>
      <c r="B5" s="12" t="s">
        <v>87</v>
      </c>
      <c r="C5" s="12" t="s">
        <v>1205</v>
      </c>
      <c r="D5" s="12" t="s">
        <v>1206</v>
      </c>
      <c r="E5" s="13" t="s">
        <v>455</v>
      </c>
    </row>
    <row r="6" customFormat="false" ht="23.85" hidden="false" customHeight="false" outlineLevel="0" collapsed="false">
      <c r="A6" s="12" t="s">
        <v>882</v>
      </c>
      <c r="B6" s="12" t="s">
        <v>87</v>
      </c>
      <c r="C6" s="12" t="s">
        <v>1207</v>
      </c>
      <c r="D6" s="12" t="s">
        <v>1208</v>
      </c>
      <c r="E6" s="13" t="s">
        <v>889</v>
      </c>
    </row>
    <row r="7" customFormat="false" ht="23.85" hidden="false" customHeight="false" outlineLevel="0" collapsed="false">
      <c r="A7" s="12" t="s">
        <v>1209</v>
      </c>
      <c r="B7" s="12" t="s">
        <v>1210</v>
      </c>
      <c r="C7" s="12" t="s">
        <v>1211</v>
      </c>
      <c r="D7" s="12" t="s">
        <v>1212</v>
      </c>
      <c r="E7" s="13" t="s">
        <v>1213</v>
      </c>
    </row>
    <row r="8" customFormat="false" ht="23.85" hidden="false" customHeight="false" outlineLevel="0" collapsed="false">
      <c r="A8" s="12" t="s">
        <v>1214</v>
      </c>
      <c r="B8" s="12" t="s">
        <v>119</v>
      </c>
      <c r="C8" s="12" t="s">
        <v>1215</v>
      </c>
      <c r="D8" s="12" t="s">
        <v>1216</v>
      </c>
      <c r="E8" s="13" t="s">
        <v>123</v>
      </c>
    </row>
    <row r="9" customFormat="false" ht="23.85" hidden="false" customHeight="false" outlineLevel="0" collapsed="false">
      <c r="A9" s="12" t="s">
        <v>1217</v>
      </c>
      <c r="B9" s="12" t="s">
        <v>87</v>
      </c>
      <c r="C9" s="12" t="s">
        <v>1218</v>
      </c>
      <c r="D9" s="12" t="s">
        <v>1219</v>
      </c>
      <c r="E9" s="13" t="s">
        <v>606</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E9"/>
  <hyperlinks>
    <hyperlink ref="E2" r:id="rId1" display="https://www.anthonywaynetheater.org/"/>
    <hyperlink ref="E3" r:id="rId2" display="https://cinematreasures.org/theaters/2685"/>
    <hyperlink ref="E4" r:id="rId3" display="https://billypenn.com/2026/09/10/movie-theaters-philly/"/>
    <hyperlink ref="E5" r:id="rId4" display="https://www.34st.com/article/2026/02/philadelphia-independent-film-third-spaces-the-secret-cinema-lightbox-cinespeak-grassroots-organizations"/>
    <hyperlink ref="E6" r:id="rId5" display="https://www.facebook.com/qFLIXfestivals/"/>
    <hyperlink ref="E7" r:id="rId6" display="https://njmonthly.com/articles/arts-entertainment/how-pitmans-broadway-theatre-became-a-beloved-100-year-old-south-jersey-landmark/"/>
    <hyperlink ref="E8" r:id="rId7" display="https://billypenn.com/2026/09/10/movie-theaters-philly/"/>
    <hyperlink ref="E9" r:id="rId8" display="https://6abc.com/post/philadelphia-asian-american-film-foundation-call-support-celebration/1913811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4.43359375" defaultRowHeight="15" zeroHeight="false" outlineLevelRow="0" outlineLevelCol="0"/>
  <cols>
    <col collapsed="false" customWidth="true" hidden="false" outlineLevel="0" max="1" min="1" style="0" width="26"/>
    <col collapsed="false" customWidth="true" hidden="false" outlineLevel="0" max="2" min="2" style="0" width="36"/>
    <col collapsed="false" customWidth="true" hidden="false" outlineLevel="0" max="3" min="3" style="0" width="48"/>
    <col collapsed="false" customWidth="true" hidden="false" outlineLevel="0" max="4" min="4" style="0" width="50"/>
    <col collapsed="false" customWidth="true" hidden="false" outlineLevel="0" max="5" min="5" style="0" width="44"/>
    <col collapsed="false" customWidth="true" hidden="false" outlineLevel="0" max="26" min="6" style="0" width="8.71"/>
  </cols>
  <sheetData>
    <row r="1" customFormat="false" ht="31.5" hidden="false" customHeight="true" outlineLevel="0" collapsed="false">
      <c r="A1" s="11" t="s">
        <v>61</v>
      </c>
      <c r="B1" s="11" t="s">
        <v>564</v>
      </c>
      <c r="C1" s="11" t="s">
        <v>1220</v>
      </c>
      <c r="D1" s="11" t="s">
        <v>1221</v>
      </c>
      <c r="E1" s="11" t="s">
        <v>356</v>
      </c>
    </row>
    <row r="2" customFormat="false" ht="23.85" hidden="false" customHeight="false" outlineLevel="0" collapsed="false">
      <c r="A2" s="12" t="s">
        <v>1222</v>
      </c>
      <c r="B2" s="12" t="s">
        <v>1223</v>
      </c>
      <c r="C2" s="12" t="s">
        <v>1224</v>
      </c>
      <c r="D2" s="13" t="s">
        <v>1225</v>
      </c>
      <c r="E2" s="12" t="s">
        <v>1226</v>
      </c>
    </row>
    <row r="3" customFormat="false" ht="23.85" hidden="false" customHeight="false" outlineLevel="0" collapsed="false">
      <c r="A3" s="12" t="s">
        <v>1227</v>
      </c>
      <c r="B3" s="12" t="s">
        <v>1228</v>
      </c>
      <c r="C3" s="12" t="s">
        <v>1229</v>
      </c>
      <c r="D3" s="13" t="s">
        <v>184</v>
      </c>
      <c r="E3" s="12" t="s">
        <v>1230</v>
      </c>
    </row>
    <row r="4" customFormat="false" ht="15" hidden="false" customHeight="false" outlineLevel="0" collapsed="false">
      <c r="A4" s="12" t="s">
        <v>1231</v>
      </c>
      <c r="B4" s="12" t="s">
        <v>1232</v>
      </c>
      <c r="C4" s="12" t="s">
        <v>1233</v>
      </c>
      <c r="D4" s="13" t="s">
        <v>1234</v>
      </c>
      <c r="E4" s="12" t="s">
        <v>1235</v>
      </c>
    </row>
    <row r="5" customFormat="false" ht="15" hidden="false" customHeight="false" outlineLevel="0" collapsed="false">
      <c r="A5" s="12" t="s">
        <v>1236</v>
      </c>
      <c r="B5" s="12" t="s">
        <v>1237</v>
      </c>
      <c r="C5" s="12" t="s">
        <v>1238</v>
      </c>
      <c r="D5" s="13" t="s">
        <v>1239</v>
      </c>
      <c r="E5" s="12"/>
    </row>
    <row r="6" customFormat="false" ht="15" hidden="false" customHeight="false" outlineLevel="0" collapsed="false">
      <c r="A6" s="12" t="s">
        <v>1240</v>
      </c>
      <c r="B6" s="12" t="s">
        <v>1241</v>
      </c>
      <c r="C6" s="12" t="s">
        <v>1242</v>
      </c>
      <c r="D6" s="13" t="s">
        <v>1243</v>
      </c>
      <c r="E6" s="12"/>
    </row>
    <row r="7" customFormat="false" ht="23.85" hidden="false" customHeight="false" outlineLevel="0" collapsed="false">
      <c r="A7" s="12" t="s">
        <v>1244</v>
      </c>
      <c r="B7" s="12" t="s">
        <v>1245</v>
      </c>
      <c r="C7" s="12" t="s">
        <v>1246</v>
      </c>
      <c r="D7" s="13" t="s">
        <v>123</v>
      </c>
      <c r="E7" s="12"/>
    </row>
    <row r="8" customFormat="false" ht="15" hidden="false" customHeight="false" outlineLevel="0" collapsed="false">
      <c r="A8" s="12" t="s">
        <v>1247</v>
      </c>
      <c r="B8" s="12" t="s">
        <v>1248</v>
      </c>
      <c r="C8" s="12" t="s">
        <v>1249</v>
      </c>
      <c r="D8" s="13" t="s">
        <v>1250</v>
      </c>
      <c r="E8" s="12"/>
    </row>
    <row r="9" customFormat="false" ht="15" hidden="false" customHeight="false" outlineLevel="0" collapsed="false">
      <c r="A9" s="12" t="s">
        <v>1251</v>
      </c>
      <c r="B9" s="12" t="s">
        <v>1252</v>
      </c>
      <c r="C9" s="12" t="s">
        <v>1253</v>
      </c>
      <c r="D9" s="13" t="s">
        <v>1254</v>
      </c>
      <c r="E9" s="12"/>
    </row>
    <row r="10" customFormat="false" ht="23.85" hidden="false" customHeight="false" outlineLevel="0" collapsed="false">
      <c r="A10" s="12" t="s">
        <v>1255</v>
      </c>
      <c r="B10" s="12" t="s">
        <v>1256</v>
      </c>
      <c r="C10" s="12" t="s">
        <v>1257</v>
      </c>
      <c r="D10" s="13" t="s">
        <v>1258</v>
      </c>
      <c r="E10" s="12" t="s">
        <v>1259</v>
      </c>
    </row>
    <row r="11" customFormat="false" ht="35.05" hidden="false" customHeight="false" outlineLevel="0" collapsed="false">
      <c r="A11" s="12" t="s">
        <v>1260</v>
      </c>
      <c r="B11" s="12" t="s">
        <v>1261</v>
      </c>
      <c r="C11" s="12" t="s">
        <v>1262</v>
      </c>
      <c r="D11" s="13" t="s">
        <v>511</v>
      </c>
      <c r="E11" s="12" t="s">
        <v>1263</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E10"/>
  <hyperlinks>
    <hyperlink ref="D2" r:id="rId1" display="https://philmclub.com/"/>
    <hyperlink ref="D3" r:id="rId2" display="https://www.poorstuart.com/philadelphia-movie-showtimes-citywide-by-arthouse/"/>
    <hyperlink ref="D4" r:id="rId3" display="https://www.moviejawn.com/"/>
    <hyperlink ref="D5" r:id="rId4" display="https://cinespeak.org/journal/"/>
    <hyperlink ref="D6" r:id="rId5" display="https://www.broadstreetreview.com/"/>
    <hyperlink ref="D7" r:id="rId6" display="https://billypenn.com/2026/09/10/movie-theaters-philly/"/>
    <hyperlink ref="D8" r:id="rId7" display="https://www.34st.com/"/>
    <hyperlink ref="D9" r:id="rId8" display="https://www.visitphilly.com/articles/philadelphia/top-events-and-festivals-in-philadelphia/"/>
    <hyperlink ref="D10" r:id="rId9" display="https://www.fandango.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2026-09-11T16:37:25Z</dcterms:created>
  <dc:creator>openpyxl</dc:creator>
  <dc:description/>
  <dc:language>en-US</dc:language>
  <cp:lastModifiedBy/>
  <dcterms:modified xsi:type="dcterms:W3CDTF">2026-09-16T19:57:28Z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